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kunalchandra.ozellar/Downloads/"/>
    </mc:Choice>
  </mc:AlternateContent>
  <xr:revisionPtr revIDLastSave="0" documentId="13_ncr:1_{01028C50-B9FB-D841-B74C-26D5CA6429F0}" xr6:coauthVersionLast="47" xr6:coauthVersionMax="47" xr10:uidLastSave="{00000000-0000-0000-0000-000000000000}"/>
  <bookViews>
    <workbookView xWindow="-38400" yWindow="-9680" windowWidth="38400" windowHeight="21600" activeTab="6" xr2:uid="{00000000-000D-0000-FFFF-FFFF00000000}"/>
  </bookViews>
  <sheets>
    <sheet name="Claude Log" sheetId="7" r:id="rId1"/>
    <sheet name="Vessel Details" sheetId="1" r:id="rId2"/>
    <sheet name="Emissions KPIs" sheetId="2" r:id="rId3"/>
    <sheet name="Summary" sheetId="3" r:id="rId4"/>
    <sheet name="Correction and Gaps" sheetId="4" r:id="rId5"/>
    <sheet name="Passages List" sheetId="5" r:id="rId6"/>
    <sheet name="Log Abstract" sheetId="6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3" i="6" l="1"/>
  <c r="D303" i="6"/>
  <c r="C303" i="6"/>
  <c r="B303" i="6"/>
  <c r="A303" i="6"/>
  <c r="E302" i="6"/>
  <c r="D302" i="6"/>
  <c r="C302" i="6"/>
  <c r="B302" i="6"/>
  <c r="A302" i="6"/>
  <c r="E301" i="6"/>
  <c r="D301" i="6"/>
  <c r="C301" i="6"/>
  <c r="B301" i="6"/>
  <c r="A301" i="6"/>
  <c r="E300" i="6"/>
  <c r="D300" i="6"/>
  <c r="C300" i="6"/>
  <c r="B300" i="6"/>
  <c r="A300" i="6"/>
  <c r="E299" i="6"/>
  <c r="D299" i="6"/>
  <c r="C299" i="6"/>
  <c r="B299" i="6"/>
  <c r="A299" i="6"/>
  <c r="E298" i="6"/>
  <c r="D298" i="6"/>
  <c r="C298" i="6"/>
  <c r="B298" i="6"/>
  <c r="A298" i="6"/>
  <c r="E297" i="6"/>
  <c r="D297" i="6"/>
  <c r="C297" i="6"/>
  <c r="B297" i="6"/>
  <c r="A297" i="6"/>
  <c r="E296" i="6"/>
  <c r="D296" i="6"/>
  <c r="C296" i="6"/>
  <c r="B296" i="6"/>
  <c r="A296" i="6"/>
  <c r="E295" i="6"/>
  <c r="D295" i="6"/>
  <c r="C295" i="6"/>
  <c r="B295" i="6"/>
  <c r="A295" i="6"/>
  <c r="E294" i="6"/>
  <c r="D294" i="6"/>
  <c r="C294" i="6"/>
  <c r="B294" i="6"/>
  <c r="A294" i="6"/>
  <c r="E293" i="6"/>
  <c r="D293" i="6"/>
  <c r="C293" i="6"/>
  <c r="B293" i="6"/>
  <c r="A293" i="6"/>
  <c r="E292" i="6"/>
  <c r="D292" i="6"/>
  <c r="C292" i="6"/>
  <c r="B292" i="6"/>
  <c r="A292" i="6"/>
  <c r="E291" i="6"/>
  <c r="D291" i="6"/>
  <c r="C291" i="6"/>
  <c r="B291" i="6"/>
  <c r="A291" i="6"/>
  <c r="E290" i="6"/>
  <c r="D290" i="6"/>
  <c r="C290" i="6"/>
  <c r="B290" i="6"/>
  <c r="A290" i="6"/>
  <c r="E289" i="6"/>
  <c r="D289" i="6"/>
  <c r="C289" i="6"/>
  <c r="B289" i="6"/>
  <c r="A289" i="6"/>
  <c r="E288" i="6"/>
  <c r="D288" i="6"/>
  <c r="C288" i="6"/>
  <c r="B288" i="6"/>
  <c r="A288" i="6"/>
  <c r="E287" i="6"/>
  <c r="D287" i="6"/>
  <c r="C287" i="6"/>
  <c r="B287" i="6"/>
  <c r="A287" i="6"/>
  <c r="E286" i="6"/>
  <c r="D286" i="6"/>
  <c r="C286" i="6"/>
  <c r="B286" i="6"/>
  <c r="A286" i="6"/>
  <c r="E285" i="6"/>
  <c r="D285" i="6"/>
  <c r="C285" i="6"/>
  <c r="B285" i="6"/>
  <c r="A285" i="6"/>
  <c r="E284" i="6"/>
  <c r="D284" i="6"/>
  <c r="C284" i="6"/>
  <c r="B284" i="6"/>
  <c r="A284" i="6"/>
  <c r="E283" i="6"/>
  <c r="D283" i="6"/>
  <c r="C283" i="6"/>
  <c r="B283" i="6"/>
  <c r="A283" i="6"/>
  <c r="E282" i="6"/>
  <c r="D282" i="6"/>
  <c r="C282" i="6"/>
  <c r="B282" i="6"/>
  <c r="A282" i="6"/>
  <c r="E281" i="6"/>
  <c r="D281" i="6"/>
  <c r="C281" i="6"/>
  <c r="B281" i="6"/>
  <c r="A281" i="6"/>
  <c r="E280" i="6"/>
  <c r="D280" i="6"/>
  <c r="C280" i="6"/>
  <c r="B280" i="6"/>
  <c r="A280" i="6"/>
  <c r="E279" i="6"/>
  <c r="D279" i="6"/>
  <c r="C279" i="6"/>
  <c r="B279" i="6"/>
  <c r="A279" i="6"/>
  <c r="E278" i="6"/>
  <c r="D278" i="6"/>
  <c r="C278" i="6"/>
  <c r="B278" i="6"/>
  <c r="A278" i="6"/>
  <c r="E277" i="6"/>
  <c r="D277" i="6"/>
  <c r="C277" i="6"/>
  <c r="B277" i="6"/>
  <c r="A277" i="6"/>
  <c r="E276" i="6"/>
  <c r="D276" i="6"/>
  <c r="C276" i="6"/>
  <c r="B276" i="6"/>
  <c r="A276" i="6"/>
  <c r="E275" i="6"/>
  <c r="D275" i="6"/>
  <c r="C275" i="6"/>
  <c r="B275" i="6"/>
  <c r="A275" i="6"/>
  <c r="E274" i="6"/>
  <c r="D274" i="6"/>
  <c r="C274" i="6"/>
  <c r="B274" i="6"/>
  <c r="A274" i="6"/>
  <c r="E273" i="6"/>
  <c r="D273" i="6"/>
  <c r="C273" i="6"/>
  <c r="B273" i="6"/>
  <c r="A273" i="6"/>
  <c r="E272" i="6"/>
  <c r="D272" i="6"/>
  <c r="C272" i="6"/>
  <c r="B272" i="6"/>
  <c r="A272" i="6"/>
  <c r="E271" i="6"/>
  <c r="D271" i="6"/>
  <c r="C271" i="6"/>
  <c r="B271" i="6"/>
  <c r="A271" i="6"/>
  <c r="E270" i="6"/>
  <c r="D270" i="6"/>
  <c r="C270" i="6"/>
  <c r="B270" i="6"/>
  <c r="A270" i="6"/>
  <c r="E269" i="6"/>
  <c r="D269" i="6"/>
  <c r="C269" i="6"/>
  <c r="B269" i="6"/>
  <c r="A269" i="6"/>
  <c r="E268" i="6"/>
  <c r="D268" i="6"/>
  <c r="C268" i="6"/>
  <c r="B268" i="6"/>
  <c r="A268" i="6"/>
  <c r="E267" i="6"/>
  <c r="D267" i="6"/>
  <c r="C267" i="6"/>
  <c r="B267" i="6"/>
  <c r="A267" i="6"/>
  <c r="E266" i="6"/>
  <c r="D266" i="6"/>
  <c r="C266" i="6"/>
  <c r="B266" i="6"/>
  <c r="A266" i="6"/>
  <c r="E265" i="6"/>
  <c r="D265" i="6"/>
  <c r="C265" i="6"/>
  <c r="B265" i="6"/>
  <c r="A265" i="6"/>
  <c r="E264" i="6"/>
  <c r="D264" i="6"/>
  <c r="C264" i="6"/>
  <c r="B264" i="6"/>
  <c r="A264" i="6"/>
  <c r="E263" i="6"/>
  <c r="D263" i="6"/>
  <c r="C263" i="6"/>
  <c r="B263" i="6"/>
  <c r="A263" i="6"/>
  <c r="E262" i="6"/>
  <c r="D262" i="6"/>
  <c r="C262" i="6"/>
  <c r="B262" i="6"/>
  <c r="A262" i="6"/>
  <c r="E261" i="6"/>
  <c r="D261" i="6"/>
  <c r="C261" i="6"/>
  <c r="B261" i="6"/>
  <c r="A261" i="6"/>
  <c r="E260" i="6"/>
  <c r="D260" i="6"/>
  <c r="C260" i="6"/>
  <c r="B260" i="6"/>
  <c r="A260" i="6"/>
  <c r="E259" i="6"/>
  <c r="D259" i="6"/>
  <c r="C259" i="6"/>
  <c r="B259" i="6"/>
  <c r="A259" i="6"/>
  <c r="E258" i="6"/>
  <c r="D258" i="6"/>
  <c r="C258" i="6"/>
  <c r="B258" i="6"/>
  <c r="A258" i="6"/>
  <c r="E257" i="6"/>
  <c r="D257" i="6"/>
  <c r="C257" i="6"/>
  <c r="B257" i="6"/>
  <c r="A257" i="6"/>
  <c r="E256" i="6"/>
  <c r="D256" i="6"/>
  <c r="C256" i="6"/>
  <c r="B256" i="6"/>
  <c r="A256" i="6"/>
  <c r="E255" i="6"/>
  <c r="D255" i="6"/>
  <c r="C255" i="6"/>
  <c r="B255" i="6"/>
  <c r="A255" i="6"/>
  <c r="E254" i="6"/>
  <c r="D254" i="6"/>
  <c r="C254" i="6"/>
  <c r="B254" i="6"/>
  <c r="A254" i="6"/>
  <c r="E253" i="6"/>
  <c r="D253" i="6"/>
  <c r="C253" i="6"/>
  <c r="B253" i="6"/>
  <c r="A253" i="6"/>
  <c r="E252" i="6"/>
  <c r="D252" i="6"/>
  <c r="C252" i="6"/>
  <c r="B252" i="6"/>
  <c r="A252" i="6"/>
  <c r="E251" i="6"/>
  <c r="D251" i="6"/>
  <c r="C251" i="6"/>
  <c r="B251" i="6"/>
  <c r="A251" i="6"/>
  <c r="E250" i="6"/>
  <c r="D250" i="6"/>
  <c r="C250" i="6"/>
  <c r="B250" i="6"/>
  <c r="A250" i="6"/>
  <c r="E249" i="6"/>
  <c r="D249" i="6"/>
  <c r="C249" i="6"/>
  <c r="B249" i="6"/>
  <c r="A249" i="6"/>
  <c r="E248" i="6"/>
  <c r="D248" i="6"/>
  <c r="C248" i="6"/>
  <c r="B248" i="6"/>
  <c r="A248" i="6"/>
  <c r="E247" i="6"/>
  <c r="D247" i="6"/>
  <c r="C247" i="6"/>
  <c r="B247" i="6"/>
  <c r="A247" i="6"/>
  <c r="E246" i="6"/>
  <c r="D246" i="6"/>
  <c r="C246" i="6"/>
  <c r="B246" i="6"/>
  <c r="A246" i="6"/>
  <c r="E245" i="6"/>
  <c r="D245" i="6"/>
  <c r="C245" i="6"/>
  <c r="B245" i="6"/>
  <c r="A245" i="6"/>
  <c r="E244" i="6"/>
  <c r="D244" i="6"/>
  <c r="C244" i="6"/>
  <c r="B244" i="6"/>
  <c r="A244" i="6"/>
  <c r="E243" i="6"/>
  <c r="D243" i="6"/>
  <c r="C243" i="6"/>
  <c r="B243" i="6"/>
  <c r="A243" i="6"/>
  <c r="E242" i="6"/>
  <c r="D242" i="6"/>
  <c r="C242" i="6"/>
  <c r="B242" i="6"/>
  <c r="A242" i="6"/>
  <c r="E241" i="6"/>
  <c r="D241" i="6"/>
  <c r="C241" i="6"/>
  <c r="B241" i="6"/>
  <c r="A241" i="6"/>
  <c r="E240" i="6"/>
  <c r="D240" i="6"/>
  <c r="C240" i="6"/>
  <c r="B240" i="6"/>
  <c r="A240" i="6"/>
  <c r="E239" i="6"/>
  <c r="D239" i="6"/>
  <c r="C239" i="6"/>
  <c r="B239" i="6"/>
  <c r="A239" i="6"/>
  <c r="E238" i="6"/>
  <c r="D238" i="6"/>
  <c r="C238" i="6"/>
  <c r="B238" i="6"/>
  <c r="A238" i="6"/>
  <c r="E237" i="6"/>
  <c r="D237" i="6"/>
  <c r="C237" i="6"/>
  <c r="B237" i="6"/>
  <c r="A237" i="6"/>
  <c r="E236" i="6"/>
  <c r="D236" i="6"/>
  <c r="C236" i="6"/>
  <c r="B236" i="6"/>
  <c r="A236" i="6"/>
  <c r="E235" i="6"/>
  <c r="D235" i="6"/>
  <c r="C235" i="6"/>
  <c r="B235" i="6"/>
  <c r="A235" i="6"/>
  <c r="E234" i="6"/>
  <c r="D234" i="6"/>
  <c r="C234" i="6"/>
  <c r="B234" i="6"/>
  <c r="A234" i="6"/>
  <c r="E233" i="6"/>
  <c r="D233" i="6"/>
  <c r="C233" i="6"/>
  <c r="B233" i="6"/>
  <c r="A233" i="6"/>
  <c r="E232" i="6"/>
  <c r="D232" i="6"/>
  <c r="C232" i="6"/>
  <c r="B232" i="6"/>
  <c r="A232" i="6"/>
  <c r="E231" i="6"/>
  <c r="D231" i="6"/>
  <c r="C231" i="6"/>
  <c r="B231" i="6"/>
  <c r="A231" i="6"/>
  <c r="E230" i="6"/>
  <c r="D230" i="6"/>
  <c r="C230" i="6"/>
  <c r="B230" i="6"/>
  <c r="A230" i="6"/>
  <c r="E229" i="6"/>
  <c r="D229" i="6"/>
  <c r="C229" i="6"/>
  <c r="B229" i="6"/>
  <c r="A229" i="6"/>
  <c r="E228" i="6"/>
  <c r="D228" i="6"/>
  <c r="C228" i="6"/>
  <c r="B228" i="6"/>
  <c r="A228" i="6"/>
  <c r="E227" i="6"/>
  <c r="D227" i="6"/>
  <c r="C227" i="6"/>
  <c r="B227" i="6"/>
  <c r="A227" i="6"/>
  <c r="E226" i="6"/>
  <c r="D226" i="6"/>
  <c r="C226" i="6"/>
  <c r="B226" i="6"/>
  <c r="A226" i="6"/>
  <c r="E225" i="6"/>
  <c r="D225" i="6"/>
  <c r="C225" i="6"/>
  <c r="B225" i="6"/>
  <c r="A225" i="6"/>
  <c r="E224" i="6"/>
  <c r="D224" i="6"/>
  <c r="C224" i="6"/>
  <c r="B224" i="6"/>
  <c r="A224" i="6"/>
  <c r="E223" i="6"/>
  <c r="D223" i="6"/>
  <c r="C223" i="6"/>
  <c r="B223" i="6"/>
  <c r="A223" i="6"/>
  <c r="E222" i="6"/>
  <c r="D222" i="6"/>
  <c r="C222" i="6"/>
  <c r="B222" i="6"/>
  <c r="A222" i="6"/>
  <c r="E221" i="6"/>
  <c r="D221" i="6"/>
  <c r="C221" i="6"/>
  <c r="B221" i="6"/>
  <c r="A221" i="6"/>
  <c r="E220" i="6"/>
  <c r="D220" i="6"/>
  <c r="C220" i="6"/>
  <c r="B220" i="6"/>
  <c r="A220" i="6"/>
  <c r="E219" i="6"/>
  <c r="D219" i="6"/>
  <c r="C219" i="6"/>
  <c r="B219" i="6"/>
  <c r="A219" i="6"/>
  <c r="E218" i="6"/>
  <c r="D218" i="6"/>
  <c r="C218" i="6"/>
  <c r="B218" i="6"/>
  <c r="A218" i="6"/>
  <c r="E217" i="6"/>
  <c r="D217" i="6"/>
  <c r="C217" i="6"/>
  <c r="B217" i="6"/>
  <c r="A217" i="6"/>
  <c r="E216" i="6"/>
  <c r="D216" i="6"/>
  <c r="C216" i="6"/>
  <c r="B216" i="6"/>
  <c r="A216" i="6"/>
  <c r="E215" i="6"/>
  <c r="D215" i="6"/>
  <c r="C215" i="6"/>
  <c r="B215" i="6"/>
  <c r="A215" i="6"/>
  <c r="E214" i="6"/>
  <c r="D214" i="6"/>
  <c r="C214" i="6"/>
  <c r="B214" i="6"/>
  <c r="A214" i="6"/>
  <c r="E213" i="6"/>
  <c r="D213" i="6"/>
  <c r="C213" i="6"/>
  <c r="B213" i="6"/>
  <c r="A213" i="6"/>
  <c r="E212" i="6"/>
  <c r="D212" i="6"/>
  <c r="C212" i="6"/>
  <c r="B212" i="6"/>
  <c r="A212" i="6"/>
  <c r="E211" i="6"/>
  <c r="D211" i="6"/>
  <c r="C211" i="6"/>
  <c r="B211" i="6"/>
  <c r="A211" i="6"/>
  <c r="E210" i="6"/>
  <c r="D210" i="6"/>
  <c r="C210" i="6"/>
  <c r="B210" i="6"/>
  <c r="A210" i="6"/>
  <c r="E209" i="6"/>
  <c r="D209" i="6"/>
  <c r="C209" i="6"/>
  <c r="B209" i="6"/>
  <c r="A209" i="6"/>
  <c r="E208" i="6"/>
  <c r="D208" i="6"/>
  <c r="C208" i="6"/>
  <c r="B208" i="6"/>
  <c r="A208" i="6"/>
  <c r="E207" i="6"/>
  <c r="D207" i="6"/>
  <c r="C207" i="6"/>
  <c r="B207" i="6"/>
  <c r="A207" i="6"/>
  <c r="E206" i="6"/>
  <c r="D206" i="6"/>
  <c r="C206" i="6"/>
  <c r="B206" i="6"/>
  <c r="A206" i="6"/>
  <c r="E205" i="6"/>
  <c r="D205" i="6"/>
  <c r="C205" i="6"/>
  <c r="B205" i="6"/>
  <c r="A205" i="6"/>
  <c r="E204" i="6"/>
  <c r="D204" i="6"/>
  <c r="C204" i="6"/>
  <c r="B204" i="6"/>
  <c r="A204" i="6"/>
  <c r="E203" i="6"/>
  <c r="D203" i="6"/>
  <c r="C203" i="6"/>
  <c r="B203" i="6"/>
  <c r="A203" i="6"/>
  <c r="E202" i="6"/>
  <c r="D202" i="6"/>
  <c r="C202" i="6"/>
  <c r="B202" i="6"/>
  <c r="A202" i="6"/>
  <c r="E201" i="6"/>
  <c r="D201" i="6"/>
  <c r="C201" i="6"/>
  <c r="B201" i="6"/>
  <c r="A201" i="6"/>
  <c r="E200" i="6"/>
  <c r="D200" i="6"/>
  <c r="C200" i="6"/>
  <c r="B200" i="6"/>
  <c r="A200" i="6"/>
  <c r="E199" i="6"/>
  <c r="D199" i="6"/>
  <c r="C199" i="6"/>
  <c r="B199" i="6"/>
  <c r="A199" i="6"/>
  <c r="E198" i="6"/>
  <c r="D198" i="6"/>
  <c r="C198" i="6"/>
  <c r="B198" i="6"/>
  <c r="A198" i="6"/>
  <c r="E197" i="6"/>
  <c r="D197" i="6"/>
  <c r="C197" i="6"/>
  <c r="B197" i="6"/>
  <c r="A197" i="6"/>
  <c r="E196" i="6"/>
  <c r="D196" i="6"/>
  <c r="C196" i="6"/>
  <c r="B196" i="6"/>
  <c r="A196" i="6"/>
  <c r="E195" i="6"/>
  <c r="D195" i="6"/>
  <c r="C195" i="6"/>
  <c r="B195" i="6"/>
  <c r="A195" i="6"/>
  <c r="E194" i="6"/>
  <c r="D194" i="6"/>
  <c r="C194" i="6"/>
  <c r="B194" i="6"/>
  <c r="A194" i="6"/>
  <c r="E193" i="6"/>
  <c r="D193" i="6"/>
  <c r="C193" i="6"/>
  <c r="B193" i="6"/>
  <c r="A193" i="6"/>
  <c r="E192" i="6"/>
  <c r="D192" i="6"/>
  <c r="C192" i="6"/>
  <c r="B192" i="6"/>
  <c r="A192" i="6"/>
  <c r="E191" i="6"/>
  <c r="D191" i="6"/>
  <c r="C191" i="6"/>
  <c r="B191" i="6"/>
  <c r="A191" i="6"/>
  <c r="E190" i="6"/>
  <c r="D190" i="6"/>
  <c r="C190" i="6"/>
  <c r="B190" i="6"/>
  <c r="A190" i="6"/>
  <c r="E189" i="6"/>
  <c r="D189" i="6"/>
  <c r="C189" i="6"/>
  <c r="B189" i="6"/>
  <c r="A189" i="6"/>
  <c r="E188" i="6"/>
  <c r="D188" i="6"/>
  <c r="C188" i="6"/>
  <c r="B188" i="6"/>
  <c r="A188" i="6"/>
  <c r="E187" i="6"/>
  <c r="D187" i="6"/>
  <c r="C187" i="6"/>
  <c r="B187" i="6"/>
  <c r="A187" i="6"/>
  <c r="E186" i="6"/>
  <c r="D186" i="6"/>
  <c r="C186" i="6"/>
  <c r="B186" i="6"/>
  <c r="A186" i="6"/>
  <c r="E185" i="6"/>
  <c r="D185" i="6"/>
  <c r="C185" i="6"/>
  <c r="B185" i="6"/>
  <c r="A185" i="6"/>
  <c r="E184" i="6"/>
  <c r="D184" i="6"/>
  <c r="C184" i="6"/>
  <c r="B184" i="6"/>
  <c r="A184" i="6"/>
  <c r="E183" i="6"/>
  <c r="D183" i="6"/>
  <c r="C183" i="6"/>
  <c r="B183" i="6"/>
  <c r="A183" i="6"/>
  <c r="E182" i="6"/>
  <c r="D182" i="6"/>
  <c r="C182" i="6"/>
  <c r="B182" i="6"/>
  <c r="A182" i="6"/>
  <c r="E181" i="6"/>
  <c r="D181" i="6"/>
  <c r="C181" i="6"/>
  <c r="B181" i="6"/>
  <c r="A181" i="6"/>
  <c r="E180" i="6"/>
  <c r="D180" i="6"/>
  <c r="C180" i="6"/>
  <c r="B180" i="6"/>
  <c r="A180" i="6"/>
  <c r="E179" i="6"/>
  <c r="D179" i="6"/>
  <c r="C179" i="6"/>
  <c r="B179" i="6"/>
  <c r="A179" i="6"/>
  <c r="E178" i="6"/>
  <c r="D178" i="6"/>
  <c r="C178" i="6"/>
  <c r="B178" i="6"/>
  <c r="A178" i="6"/>
  <c r="E177" i="6"/>
  <c r="D177" i="6"/>
  <c r="C177" i="6"/>
  <c r="B177" i="6"/>
  <c r="A177" i="6"/>
  <c r="E176" i="6"/>
  <c r="D176" i="6"/>
  <c r="C176" i="6"/>
  <c r="B176" i="6"/>
  <c r="A176" i="6"/>
  <c r="E175" i="6"/>
  <c r="D175" i="6"/>
  <c r="C175" i="6"/>
  <c r="B175" i="6"/>
  <c r="A175" i="6"/>
  <c r="E174" i="6"/>
  <c r="D174" i="6"/>
  <c r="C174" i="6"/>
  <c r="B174" i="6"/>
  <c r="A174" i="6"/>
  <c r="E173" i="6"/>
  <c r="D173" i="6"/>
  <c r="C173" i="6"/>
  <c r="B173" i="6"/>
  <c r="A173" i="6"/>
  <c r="E172" i="6"/>
  <c r="D172" i="6"/>
  <c r="C172" i="6"/>
  <c r="B172" i="6"/>
  <c r="A172" i="6"/>
  <c r="E171" i="6"/>
  <c r="D171" i="6"/>
  <c r="C171" i="6"/>
  <c r="B171" i="6"/>
  <c r="A171" i="6"/>
  <c r="E170" i="6"/>
  <c r="D170" i="6"/>
  <c r="C170" i="6"/>
  <c r="B170" i="6"/>
  <c r="A170" i="6"/>
  <c r="E169" i="6"/>
  <c r="D169" i="6"/>
  <c r="C169" i="6"/>
  <c r="B169" i="6"/>
  <c r="A169" i="6"/>
  <c r="E168" i="6"/>
  <c r="D168" i="6"/>
  <c r="C168" i="6"/>
  <c r="B168" i="6"/>
  <c r="A168" i="6"/>
  <c r="E167" i="6"/>
  <c r="D167" i="6"/>
  <c r="C167" i="6"/>
  <c r="B167" i="6"/>
  <c r="A167" i="6"/>
  <c r="E166" i="6"/>
  <c r="D166" i="6"/>
  <c r="C166" i="6"/>
  <c r="B166" i="6"/>
  <c r="A166" i="6"/>
  <c r="E165" i="6"/>
  <c r="D165" i="6"/>
  <c r="C165" i="6"/>
  <c r="B165" i="6"/>
  <c r="A165" i="6"/>
  <c r="E164" i="6"/>
  <c r="D164" i="6"/>
  <c r="C164" i="6"/>
  <c r="B164" i="6"/>
  <c r="A164" i="6"/>
  <c r="E163" i="6"/>
  <c r="D163" i="6"/>
  <c r="C163" i="6"/>
  <c r="B163" i="6"/>
  <c r="A163" i="6"/>
  <c r="E162" i="6"/>
  <c r="D162" i="6"/>
  <c r="C162" i="6"/>
  <c r="B162" i="6"/>
  <c r="A162" i="6"/>
  <c r="E161" i="6"/>
  <c r="D161" i="6"/>
  <c r="C161" i="6"/>
  <c r="B161" i="6"/>
  <c r="A161" i="6"/>
  <c r="E160" i="6"/>
  <c r="D160" i="6"/>
  <c r="C160" i="6"/>
  <c r="B160" i="6"/>
  <c r="A160" i="6"/>
  <c r="E159" i="6"/>
  <c r="D159" i="6"/>
  <c r="C159" i="6"/>
  <c r="B159" i="6"/>
  <c r="A159" i="6"/>
  <c r="E158" i="6"/>
  <c r="D158" i="6"/>
  <c r="C158" i="6"/>
  <c r="B158" i="6"/>
  <c r="A158" i="6"/>
  <c r="E157" i="6"/>
  <c r="D157" i="6"/>
  <c r="C157" i="6"/>
  <c r="B157" i="6"/>
  <c r="A157" i="6"/>
  <c r="E156" i="6"/>
  <c r="D156" i="6"/>
  <c r="C156" i="6"/>
  <c r="B156" i="6"/>
  <c r="A156" i="6"/>
  <c r="E155" i="6"/>
  <c r="D155" i="6"/>
  <c r="C155" i="6"/>
  <c r="B155" i="6"/>
  <c r="A155" i="6"/>
  <c r="E154" i="6"/>
  <c r="D154" i="6"/>
  <c r="C154" i="6"/>
  <c r="B154" i="6"/>
  <c r="A154" i="6"/>
  <c r="E153" i="6"/>
  <c r="D153" i="6"/>
  <c r="C153" i="6"/>
  <c r="B153" i="6"/>
  <c r="A153" i="6"/>
  <c r="E152" i="6"/>
  <c r="D152" i="6"/>
  <c r="C152" i="6"/>
  <c r="B152" i="6"/>
  <c r="A152" i="6"/>
  <c r="E151" i="6"/>
  <c r="D151" i="6"/>
  <c r="C151" i="6"/>
  <c r="B151" i="6"/>
  <c r="A151" i="6"/>
  <c r="E150" i="6"/>
  <c r="D150" i="6"/>
  <c r="C150" i="6"/>
  <c r="B150" i="6"/>
  <c r="A150" i="6"/>
  <c r="E149" i="6"/>
  <c r="D149" i="6"/>
  <c r="C149" i="6"/>
  <c r="B149" i="6"/>
  <c r="A149" i="6"/>
  <c r="E148" i="6"/>
  <c r="D148" i="6"/>
  <c r="C148" i="6"/>
  <c r="B148" i="6"/>
  <c r="A148" i="6"/>
  <c r="E147" i="6"/>
  <c r="D147" i="6"/>
  <c r="C147" i="6"/>
  <c r="B147" i="6"/>
  <c r="A147" i="6"/>
  <c r="E146" i="6"/>
  <c r="D146" i="6"/>
  <c r="C146" i="6"/>
  <c r="B146" i="6"/>
  <c r="A146" i="6"/>
  <c r="E145" i="6"/>
  <c r="D145" i="6"/>
  <c r="C145" i="6"/>
  <c r="B145" i="6"/>
  <c r="A145" i="6"/>
  <c r="E144" i="6"/>
  <c r="D144" i="6"/>
  <c r="C144" i="6"/>
  <c r="B144" i="6"/>
  <c r="A144" i="6"/>
  <c r="E143" i="6"/>
  <c r="D143" i="6"/>
  <c r="C143" i="6"/>
  <c r="B143" i="6"/>
  <c r="A143" i="6"/>
  <c r="E142" i="6"/>
  <c r="D142" i="6"/>
  <c r="C142" i="6"/>
  <c r="B142" i="6"/>
  <c r="A142" i="6"/>
  <c r="E141" i="6"/>
  <c r="D141" i="6"/>
  <c r="C141" i="6"/>
  <c r="B141" i="6"/>
  <c r="A141" i="6"/>
  <c r="E140" i="6"/>
  <c r="D140" i="6"/>
  <c r="C140" i="6"/>
  <c r="B140" i="6"/>
  <c r="A140" i="6"/>
  <c r="E139" i="6"/>
  <c r="D139" i="6"/>
  <c r="C139" i="6"/>
  <c r="B139" i="6"/>
  <c r="A139" i="6"/>
  <c r="E138" i="6"/>
  <c r="D138" i="6"/>
  <c r="C138" i="6"/>
  <c r="B138" i="6"/>
  <c r="A138" i="6"/>
  <c r="E137" i="6"/>
  <c r="D137" i="6"/>
  <c r="C137" i="6"/>
  <c r="B137" i="6"/>
  <c r="A137" i="6"/>
  <c r="E136" i="6"/>
  <c r="D136" i="6"/>
  <c r="C136" i="6"/>
  <c r="B136" i="6"/>
  <c r="A136" i="6"/>
  <c r="E135" i="6"/>
  <c r="D135" i="6"/>
  <c r="C135" i="6"/>
  <c r="B135" i="6"/>
  <c r="A135" i="6"/>
  <c r="E134" i="6"/>
  <c r="D134" i="6"/>
  <c r="C134" i="6"/>
  <c r="B134" i="6"/>
  <c r="A134" i="6"/>
  <c r="E133" i="6"/>
  <c r="D133" i="6"/>
  <c r="C133" i="6"/>
  <c r="B133" i="6"/>
  <c r="A133" i="6"/>
  <c r="E132" i="6"/>
  <c r="D132" i="6"/>
  <c r="C132" i="6"/>
  <c r="B132" i="6"/>
  <c r="A132" i="6"/>
  <c r="E131" i="6"/>
  <c r="D131" i="6"/>
  <c r="C131" i="6"/>
  <c r="B131" i="6"/>
  <c r="A131" i="6"/>
  <c r="E130" i="6"/>
  <c r="D130" i="6"/>
  <c r="C130" i="6"/>
  <c r="B130" i="6"/>
  <c r="A130" i="6"/>
  <c r="E129" i="6"/>
  <c r="D129" i="6"/>
  <c r="C129" i="6"/>
  <c r="B129" i="6"/>
  <c r="A129" i="6"/>
  <c r="E128" i="6"/>
  <c r="D128" i="6"/>
  <c r="C128" i="6"/>
  <c r="B128" i="6"/>
  <c r="A128" i="6"/>
  <c r="E127" i="6"/>
  <c r="D127" i="6"/>
  <c r="C127" i="6"/>
  <c r="B127" i="6"/>
  <c r="A127" i="6"/>
  <c r="E126" i="6"/>
  <c r="D126" i="6"/>
  <c r="C126" i="6"/>
  <c r="B126" i="6"/>
  <c r="A126" i="6"/>
  <c r="E125" i="6"/>
  <c r="D125" i="6"/>
  <c r="C125" i="6"/>
  <c r="B125" i="6"/>
  <c r="A125" i="6"/>
  <c r="E124" i="6"/>
  <c r="D124" i="6"/>
  <c r="C124" i="6"/>
  <c r="B124" i="6"/>
  <c r="A124" i="6"/>
  <c r="E123" i="6"/>
  <c r="D123" i="6"/>
  <c r="C123" i="6"/>
  <c r="B123" i="6"/>
  <c r="A123" i="6"/>
  <c r="E122" i="6"/>
  <c r="D122" i="6"/>
  <c r="C122" i="6"/>
  <c r="B122" i="6"/>
  <c r="A122" i="6"/>
  <c r="E121" i="6"/>
  <c r="D121" i="6"/>
  <c r="C121" i="6"/>
  <c r="B121" i="6"/>
  <c r="A121" i="6"/>
  <c r="E120" i="6"/>
  <c r="D120" i="6"/>
  <c r="C120" i="6"/>
  <c r="B120" i="6"/>
  <c r="A120" i="6"/>
  <c r="E119" i="6"/>
  <c r="D119" i="6"/>
  <c r="C119" i="6"/>
  <c r="B119" i="6"/>
  <c r="A119" i="6"/>
  <c r="E118" i="6"/>
  <c r="D118" i="6"/>
  <c r="C118" i="6"/>
  <c r="B118" i="6"/>
  <c r="A118" i="6"/>
  <c r="E117" i="6"/>
  <c r="D117" i="6"/>
  <c r="C117" i="6"/>
  <c r="B117" i="6"/>
  <c r="A117" i="6"/>
  <c r="E116" i="6"/>
  <c r="D116" i="6"/>
  <c r="C116" i="6"/>
  <c r="B116" i="6"/>
  <c r="A116" i="6"/>
  <c r="E115" i="6"/>
  <c r="D115" i="6"/>
  <c r="C115" i="6"/>
  <c r="B115" i="6"/>
  <c r="A115" i="6"/>
  <c r="E114" i="6"/>
  <c r="D114" i="6"/>
  <c r="C114" i="6"/>
  <c r="B114" i="6"/>
  <c r="A114" i="6"/>
  <c r="E113" i="6"/>
  <c r="D113" i="6"/>
  <c r="C113" i="6"/>
  <c r="B113" i="6"/>
  <c r="A113" i="6"/>
  <c r="E112" i="6"/>
  <c r="D112" i="6"/>
  <c r="C112" i="6"/>
  <c r="B112" i="6"/>
  <c r="A112" i="6"/>
  <c r="E111" i="6"/>
  <c r="D111" i="6"/>
  <c r="C111" i="6"/>
  <c r="B111" i="6"/>
  <c r="A111" i="6"/>
  <c r="E110" i="6"/>
  <c r="D110" i="6"/>
  <c r="C110" i="6"/>
  <c r="B110" i="6"/>
  <c r="A110" i="6"/>
  <c r="E109" i="6"/>
  <c r="D109" i="6"/>
  <c r="C109" i="6"/>
  <c r="B109" i="6"/>
  <c r="A109" i="6"/>
  <c r="E108" i="6"/>
  <c r="D108" i="6"/>
  <c r="C108" i="6"/>
  <c r="B108" i="6"/>
  <c r="A108" i="6"/>
  <c r="E107" i="6"/>
  <c r="D107" i="6"/>
  <c r="C107" i="6"/>
  <c r="B107" i="6"/>
  <c r="A107" i="6"/>
  <c r="E106" i="6"/>
  <c r="D106" i="6"/>
  <c r="C106" i="6"/>
  <c r="B106" i="6"/>
  <c r="A106" i="6"/>
  <c r="E105" i="6"/>
  <c r="D105" i="6"/>
  <c r="C105" i="6"/>
  <c r="B105" i="6"/>
  <c r="A105" i="6"/>
  <c r="E104" i="6"/>
  <c r="D104" i="6"/>
  <c r="C104" i="6"/>
  <c r="B104" i="6"/>
  <c r="A104" i="6"/>
  <c r="E103" i="6"/>
  <c r="D103" i="6"/>
  <c r="C103" i="6"/>
  <c r="B103" i="6"/>
  <c r="A103" i="6"/>
  <c r="E102" i="6"/>
  <c r="D102" i="6"/>
  <c r="C102" i="6"/>
  <c r="B102" i="6"/>
  <c r="A102" i="6"/>
  <c r="E101" i="6"/>
  <c r="D101" i="6"/>
  <c r="C101" i="6"/>
  <c r="B101" i="6"/>
  <c r="A101" i="6"/>
  <c r="E100" i="6"/>
  <c r="D100" i="6"/>
  <c r="C100" i="6"/>
  <c r="B100" i="6"/>
  <c r="A100" i="6"/>
  <c r="E99" i="6"/>
  <c r="D99" i="6"/>
  <c r="C99" i="6"/>
  <c r="B99" i="6"/>
  <c r="A99" i="6"/>
  <c r="E98" i="6"/>
  <c r="D98" i="6"/>
  <c r="C98" i="6"/>
  <c r="B98" i="6"/>
  <c r="A98" i="6"/>
  <c r="E97" i="6"/>
  <c r="D97" i="6"/>
  <c r="C97" i="6"/>
  <c r="B97" i="6"/>
  <c r="A97" i="6"/>
  <c r="E96" i="6"/>
  <c r="D96" i="6"/>
  <c r="C96" i="6"/>
  <c r="B96" i="6"/>
  <c r="A96" i="6"/>
  <c r="E95" i="6"/>
  <c r="D95" i="6"/>
  <c r="C95" i="6"/>
  <c r="B95" i="6"/>
  <c r="A95" i="6"/>
  <c r="E94" i="6"/>
  <c r="D94" i="6"/>
  <c r="C94" i="6"/>
  <c r="B94" i="6"/>
  <c r="A94" i="6"/>
  <c r="E93" i="6"/>
  <c r="D93" i="6"/>
  <c r="C93" i="6"/>
  <c r="B93" i="6"/>
  <c r="A93" i="6"/>
  <c r="E92" i="6"/>
  <c r="D92" i="6"/>
  <c r="C92" i="6"/>
  <c r="B92" i="6"/>
  <c r="A92" i="6"/>
  <c r="E91" i="6"/>
  <c r="D91" i="6"/>
  <c r="C91" i="6"/>
  <c r="B91" i="6"/>
  <c r="A91" i="6"/>
  <c r="E90" i="6"/>
  <c r="D90" i="6"/>
  <c r="C90" i="6"/>
  <c r="B90" i="6"/>
  <c r="A90" i="6"/>
  <c r="E89" i="6"/>
  <c r="D89" i="6"/>
  <c r="C89" i="6"/>
  <c r="B89" i="6"/>
  <c r="A89" i="6"/>
  <c r="E88" i="6"/>
  <c r="D88" i="6"/>
  <c r="C88" i="6"/>
  <c r="B88" i="6"/>
  <c r="A88" i="6"/>
  <c r="E87" i="6"/>
  <c r="D87" i="6"/>
  <c r="C87" i="6"/>
  <c r="B87" i="6"/>
  <c r="A87" i="6"/>
  <c r="E86" i="6"/>
  <c r="D86" i="6"/>
  <c r="C86" i="6"/>
  <c r="B86" i="6"/>
  <c r="A86" i="6"/>
  <c r="E85" i="6"/>
  <c r="D85" i="6"/>
  <c r="C85" i="6"/>
  <c r="B85" i="6"/>
  <c r="A85" i="6"/>
  <c r="E84" i="6"/>
  <c r="D84" i="6"/>
  <c r="C84" i="6"/>
  <c r="B84" i="6"/>
  <c r="A84" i="6"/>
  <c r="E83" i="6"/>
  <c r="D83" i="6"/>
  <c r="C83" i="6"/>
  <c r="B83" i="6"/>
  <c r="A83" i="6"/>
  <c r="E82" i="6"/>
  <c r="D82" i="6"/>
  <c r="C82" i="6"/>
  <c r="B82" i="6"/>
  <c r="A82" i="6"/>
  <c r="E81" i="6"/>
  <c r="D81" i="6"/>
  <c r="C81" i="6"/>
  <c r="B81" i="6"/>
  <c r="A81" i="6"/>
  <c r="E80" i="6"/>
  <c r="D80" i="6"/>
  <c r="C80" i="6"/>
  <c r="B80" i="6"/>
  <c r="A80" i="6"/>
  <c r="E79" i="6"/>
  <c r="D79" i="6"/>
  <c r="C79" i="6"/>
  <c r="B79" i="6"/>
  <c r="A79" i="6"/>
  <c r="E78" i="6"/>
  <c r="D78" i="6"/>
  <c r="C78" i="6"/>
  <c r="B78" i="6"/>
  <c r="A78" i="6"/>
  <c r="E77" i="6"/>
  <c r="D77" i="6"/>
  <c r="C77" i="6"/>
  <c r="B77" i="6"/>
  <c r="A77" i="6"/>
  <c r="E76" i="6"/>
  <c r="D76" i="6"/>
  <c r="C76" i="6"/>
  <c r="B76" i="6"/>
  <c r="A76" i="6"/>
  <c r="E75" i="6"/>
  <c r="D75" i="6"/>
  <c r="C75" i="6"/>
  <c r="B75" i="6"/>
  <c r="A75" i="6"/>
  <c r="E74" i="6"/>
  <c r="D74" i="6"/>
  <c r="C74" i="6"/>
  <c r="B74" i="6"/>
  <c r="A74" i="6"/>
  <c r="E73" i="6"/>
  <c r="D73" i="6"/>
  <c r="C73" i="6"/>
  <c r="B73" i="6"/>
  <c r="A73" i="6"/>
  <c r="E72" i="6"/>
  <c r="D72" i="6"/>
  <c r="C72" i="6"/>
  <c r="B72" i="6"/>
  <c r="A72" i="6"/>
  <c r="E71" i="6"/>
  <c r="D71" i="6"/>
  <c r="C71" i="6"/>
  <c r="B71" i="6"/>
  <c r="A71" i="6"/>
  <c r="E70" i="6"/>
  <c r="D70" i="6"/>
  <c r="C70" i="6"/>
  <c r="B70" i="6"/>
  <c r="A70" i="6"/>
  <c r="E69" i="6"/>
  <c r="D69" i="6"/>
  <c r="C69" i="6"/>
  <c r="B69" i="6"/>
  <c r="A69" i="6"/>
  <c r="E68" i="6"/>
  <c r="D68" i="6"/>
  <c r="C68" i="6"/>
  <c r="B68" i="6"/>
  <c r="A68" i="6"/>
  <c r="E67" i="6"/>
  <c r="D67" i="6"/>
  <c r="C67" i="6"/>
  <c r="B67" i="6"/>
  <c r="A67" i="6"/>
  <c r="E66" i="6"/>
  <c r="D66" i="6"/>
  <c r="C66" i="6"/>
  <c r="B66" i="6"/>
  <c r="A66" i="6"/>
  <c r="E65" i="6"/>
  <c r="D65" i="6"/>
  <c r="C65" i="6"/>
  <c r="B65" i="6"/>
  <c r="A65" i="6"/>
  <c r="E64" i="6"/>
  <c r="D64" i="6"/>
  <c r="C64" i="6"/>
  <c r="B64" i="6"/>
  <c r="A64" i="6"/>
  <c r="E63" i="6"/>
  <c r="D63" i="6"/>
  <c r="C63" i="6"/>
  <c r="B63" i="6"/>
  <c r="A63" i="6"/>
  <c r="E62" i="6"/>
  <c r="D62" i="6"/>
  <c r="C62" i="6"/>
  <c r="B62" i="6"/>
  <c r="A62" i="6"/>
  <c r="E61" i="6"/>
  <c r="D61" i="6"/>
  <c r="C61" i="6"/>
  <c r="B61" i="6"/>
  <c r="A61" i="6"/>
  <c r="E60" i="6"/>
  <c r="D60" i="6"/>
  <c r="C60" i="6"/>
  <c r="B60" i="6"/>
  <c r="A60" i="6"/>
  <c r="E59" i="6"/>
  <c r="D59" i="6"/>
  <c r="C59" i="6"/>
  <c r="B59" i="6"/>
  <c r="A59" i="6"/>
  <c r="E58" i="6"/>
  <c r="D58" i="6"/>
  <c r="C58" i="6"/>
  <c r="B58" i="6"/>
  <c r="A58" i="6"/>
  <c r="E57" i="6"/>
  <c r="D57" i="6"/>
  <c r="C57" i="6"/>
  <c r="B57" i="6"/>
  <c r="A57" i="6"/>
  <c r="E56" i="6"/>
  <c r="D56" i="6"/>
  <c r="C56" i="6"/>
  <c r="B56" i="6"/>
  <c r="A56" i="6"/>
  <c r="E55" i="6"/>
  <c r="D55" i="6"/>
  <c r="C55" i="6"/>
  <c r="B55" i="6"/>
  <c r="A55" i="6"/>
  <c r="E54" i="6"/>
  <c r="D54" i="6"/>
  <c r="C54" i="6"/>
  <c r="B54" i="6"/>
  <c r="A54" i="6"/>
  <c r="E53" i="6"/>
  <c r="D53" i="6"/>
  <c r="C53" i="6"/>
  <c r="B53" i="6"/>
  <c r="A53" i="6"/>
  <c r="E52" i="6"/>
  <c r="D52" i="6"/>
  <c r="C52" i="6"/>
  <c r="B52" i="6"/>
  <c r="A52" i="6"/>
  <c r="E51" i="6"/>
  <c r="D51" i="6"/>
  <c r="C51" i="6"/>
  <c r="B51" i="6"/>
  <c r="A51" i="6"/>
  <c r="E50" i="6"/>
  <c r="D50" i="6"/>
  <c r="C50" i="6"/>
  <c r="B50" i="6"/>
  <c r="A50" i="6"/>
  <c r="E49" i="6"/>
  <c r="D49" i="6"/>
  <c r="C49" i="6"/>
  <c r="B49" i="6"/>
  <c r="A49" i="6"/>
  <c r="E48" i="6"/>
  <c r="D48" i="6"/>
  <c r="C48" i="6"/>
  <c r="B48" i="6"/>
  <c r="A48" i="6"/>
  <c r="E47" i="6"/>
  <c r="D47" i="6"/>
  <c r="C47" i="6"/>
  <c r="B47" i="6"/>
  <c r="A47" i="6"/>
  <c r="E46" i="6"/>
  <c r="D46" i="6"/>
  <c r="C46" i="6"/>
  <c r="B46" i="6"/>
  <c r="A46" i="6"/>
  <c r="E45" i="6"/>
  <c r="D45" i="6"/>
  <c r="C45" i="6"/>
  <c r="B45" i="6"/>
  <c r="A45" i="6"/>
  <c r="E44" i="6"/>
  <c r="D44" i="6"/>
  <c r="C44" i="6"/>
  <c r="B44" i="6"/>
  <c r="A44" i="6"/>
  <c r="E43" i="6"/>
  <c r="D43" i="6"/>
  <c r="C43" i="6"/>
  <c r="B43" i="6"/>
  <c r="A43" i="6"/>
  <c r="E42" i="6"/>
  <c r="D42" i="6"/>
  <c r="C42" i="6"/>
  <c r="B42" i="6"/>
  <c r="A42" i="6"/>
  <c r="E41" i="6"/>
  <c r="D41" i="6"/>
  <c r="C41" i="6"/>
  <c r="B41" i="6"/>
  <c r="A41" i="6"/>
  <c r="E40" i="6"/>
  <c r="D40" i="6"/>
  <c r="C40" i="6"/>
  <c r="B40" i="6"/>
  <c r="A40" i="6"/>
  <c r="E39" i="6"/>
  <c r="D39" i="6"/>
  <c r="C39" i="6"/>
  <c r="B39" i="6"/>
  <c r="A39" i="6"/>
  <c r="E38" i="6"/>
  <c r="D38" i="6"/>
  <c r="C38" i="6"/>
  <c r="B38" i="6"/>
  <c r="A38" i="6"/>
  <c r="E37" i="6"/>
  <c r="D37" i="6"/>
  <c r="C37" i="6"/>
  <c r="B37" i="6"/>
  <c r="A37" i="6"/>
  <c r="E36" i="6"/>
  <c r="D36" i="6"/>
  <c r="C36" i="6"/>
  <c r="B36" i="6"/>
  <c r="A36" i="6"/>
  <c r="E35" i="6"/>
  <c r="D35" i="6"/>
  <c r="C35" i="6"/>
  <c r="B35" i="6"/>
  <c r="A35" i="6"/>
  <c r="E34" i="6"/>
  <c r="D34" i="6"/>
  <c r="C34" i="6"/>
  <c r="B34" i="6"/>
  <c r="A34" i="6"/>
  <c r="E33" i="6"/>
  <c r="D33" i="6"/>
  <c r="C33" i="6"/>
  <c r="B33" i="6"/>
  <c r="A33" i="6"/>
  <c r="E32" i="6"/>
  <c r="D32" i="6"/>
  <c r="C32" i="6"/>
  <c r="B32" i="6"/>
  <c r="A32" i="6"/>
  <c r="E31" i="6"/>
  <c r="D31" i="6"/>
  <c r="C31" i="6"/>
  <c r="B31" i="6"/>
  <c r="A31" i="6"/>
  <c r="E30" i="6"/>
  <c r="D30" i="6"/>
  <c r="C30" i="6"/>
  <c r="B30" i="6"/>
  <c r="A30" i="6"/>
  <c r="E29" i="6"/>
  <c r="D29" i="6"/>
  <c r="C29" i="6"/>
  <c r="B29" i="6"/>
  <c r="A29" i="6"/>
  <c r="E28" i="6"/>
  <c r="D28" i="6"/>
  <c r="C28" i="6"/>
  <c r="B28" i="6"/>
  <c r="A28" i="6"/>
  <c r="E27" i="6"/>
  <c r="D27" i="6"/>
  <c r="C27" i="6"/>
  <c r="B27" i="6"/>
  <c r="A27" i="6"/>
  <c r="E26" i="6"/>
  <c r="D26" i="6"/>
  <c r="C26" i="6"/>
  <c r="B26" i="6"/>
  <c r="A26" i="6"/>
  <c r="E25" i="6"/>
  <c r="D25" i="6"/>
  <c r="C25" i="6"/>
  <c r="B25" i="6"/>
  <c r="A25" i="6"/>
  <c r="E24" i="6"/>
  <c r="D24" i="6"/>
  <c r="C24" i="6"/>
  <c r="B24" i="6"/>
  <c r="A24" i="6"/>
  <c r="E23" i="6"/>
  <c r="D23" i="6"/>
  <c r="C23" i="6"/>
  <c r="B23" i="6"/>
  <c r="A23" i="6"/>
  <c r="E22" i="6"/>
  <c r="D22" i="6"/>
  <c r="C22" i="6"/>
  <c r="B22" i="6"/>
  <c r="A22" i="6"/>
  <c r="E21" i="6"/>
  <c r="D21" i="6"/>
  <c r="C21" i="6"/>
  <c r="B21" i="6"/>
  <c r="A21" i="6"/>
  <c r="E20" i="6"/>
  <c r="D20" i="6"/>
  <c r="C20" i="6"/>
  <c r="B20" i="6"/>
  <c r="A20" i="6"/>
  <c r="E19" i="6"/>
  <c r="D19" i="6"/>
  <c r="C19" i="6"/>
  <c r="B19" i="6"/>
  <c r="A19" i="6"/>
  <c r="E18" i="6"/>
  <c r="D18" i="6"/>
  <c r="C18" i="6"/>
  <c r="B18" i="6"/>
  <c r="A18" i="6"/>
  <c r="E17" i="6"/>
  <c r="D17" i="6"/>
  <c r="C17" i="6"/>
  <c r="B17" i="6"/>
  <c r="A17" i="6"/>
  <c r="E16" i="6"/>
  <c r="D16" i="6"/>
  <c r="C16" i="6"/>
  <c r="B16" i="6"/>
  <c r="A16" i="6"/>
  <c r="E15" i="6"/>
  <c r="D15" i="6"/>
  <c r="C15" i="6"/>
  <c r="B15" i="6"/>
  <c r="A15" i="6"/>
  <c r="E14" i="6"/>
  <c r="D14" i="6"/>
  <c r="C14" i="6"/>
  <c r="B14" i="6"/>
  <c r="A14" i="6"/>
  <c r="E13" i="6"/>
  <c r="D13" i="6"/>
  <c r="C13" i="6"/>
  <c r="B13" i="6"/>
  <c r="A13" i="6"/>
  <c r="E12" i="6"/>
  <c r="D12" i="6"/>
  <c r="C12" i="6"/>
  <c r="B12" i="6"/>
  <c r="A12" i="6"/>
  <c r="E11" i="6"/>
  <c r="D11" i="6"/>
  <c r="C11" i="6"/>
  <c r="B11" i="6"/>
  <c r="A11" i="6"/>
  <c r="E10" i="6"/>
  <c r="D10" i="6"/>
  <c r="C10" i="6"/>
  <c r="B10" i="6"/>
  <c r="A10" i="6"/>
  <c r="E9" i="6"/>
  <c r="D9" i="6"/>
  <c r="C9" i="6"/>
  <c r="B9" i="6"/>
  <c r="A9" i="6"/>
  <c r="E8" i="6"/>
  <c r="D8" i="6"/>
  <c r="C8" i="6"/>
  <c r="B8" i="6"/>
  <c r="A8" i="6"/>
  <c r="E7" i="6"/>
  <c r="D7" i="6"/>
  <c r="C7" i="6"/>
  <c r="B7" i="6"/>
  <c r="A7" i="6"/>
  <c r="E6" i="6"/>
  <c r="D6" i="6"/>
  <c r="C6" i="6"/>
  <c r="B6" i="6"/>
  <c r="A6" i="6"/>
  <c r="E5" i="6"/>
  <c r="D5" i="6"/>
  <c r="C5" i="6"/>
  <c r="B5" i="6"/>
  <c r="A5" i="6"/>
  <c r="E4" i="6"/>
  <c r="D4" i="6"/>
  <c r="C4" i="6"/>
  <c r="B4" i="6"/>
  <c r="A4" i="6"/>
  <c r="E3" i="6"/>
  <c r="D3" i="6"/>
  <c r="C3" i="6"/>
  <c r="B3" i="6"/>
  <c r="A3" i="6"/>
  <c r="E2" i="6"/>
  <c r="D2" i="6"/>
  <c r="C2" i="6"/>
  <c r="B2" i="6"/>
  <c r="A2" i="6"/>
</calcChain>
</file>

<file path=xl/sharedStrings.xml><?xml version="1.0" encoding="utf-8"?>
<sst xmlns="http://schemas.openxmlformats.org/spreadsheetml/2006/main" count="2756" uniqueCount="642">
  <si>
    <t>Vessel</t>
  </si>
  <si>
    <t>AMNS POLAR</t>
  </si>
  <si>
    <t>IMO number</t>
  </si>
  <si>
    <t>Year built</t>
  </si>
  <si>
    <t>Vessel category</t>
  </si>
  <si>
    <t>General cargo ship (&lt;20,000dwt)</t>
  </si>
  <si>
    <t>DWT</t>
  </si>
  <si>
    <t>19560</t>
  </si>
  <si>
    <t>GT</t>
  </si>
  <si>
    <t>13579</t>
  </si>
  <si>
    <t>Ice class</t>
  </si>
  <si>
    <t>yes</t>
  </si>
  <si>
    <t>Flag</t>
  </si>
  <si>
    <t>IN</t>
  </si>
  <si>
    <t>EEDI/EEXI</t>
  </si>
  <si>
    <t>N/A</t>
  </si>
  <si>
    <t>CII</t>
  </si>
  <si>
    <t/>
  </si>
  <si>
    <t>AER</t>
  </si>
  <si>
    <t>C</t>
  </si>
  <si>
    <t>[gCO2/(dwt*nm)]</t>
  </si>
  <si>
    <t>gCO2/(dwt*nm)</t>
  </si>
  <si>
    <t>Period (from, to)</t>
  </si>
  <si>
    <t>CII/AER</t>
  </si>
  <si>
    <t>Total distance (nm)</t>
  </si>
  <si>
    <t>Total time (hrs)</t>
  </si>
  <si>
    <t>Total fuel consumed (mt/kWh)</t>
  </si>
  <si>
    <t xml:space="preserve">   MGO</t>
  </si>
  <si>
    <t xml:space="preserve">   LFO</t>
  </si>
  <si>
    <t>Total Emissions (t CO2/t CO2e)</t>
  </si>
  <si>
    <t>Year</t>
  </si>
  <si>
    <t>Date (from)</t>
  </si>
  <si>
    <t>Date (to)</t>
  </si>
  <si>
    <t>Distance (nm)</t>
  </si>
  <si>
    <t>CO2 (mt)</t>
  </si>
  <si>
    <t>Total fuel cons. (mt)</t>
  </si>
  <si>
    <t>Total remaining data gaps:</t>
  </si>
  <si>
    <t>0 days</t>
  </si>
  <si>
    <t>ENERGY SOURCES</t>
  </si>
  <si>
    <t>EMISSIONS</t>
  </si>
  <si>
    <t>FROM</t>
  </si>
  <si>
    <t>TO</t>
  </si>
  <si>
    <t>VOYAGE NUMBER</t>
  </si>
  <si>
    <t>DEPARTURE [UTC]</t>
  </si>
  <si>
    <t>ARRIVAL [UTC]</t>
  </si>
  <si>
    <t>LEG PURPOSE</t>
  </si>
  <si>
    <t>Distance [nm]</t>
  </si>
  <si>
    <t>Cargo [t]</t>
  </si>
  <si>
    <t>Total energy [MJ]</t>
  </si>
  <si>
    <t>CII/AER [t]</t>
  </si>
  <si>
    <t>Hazira Port (Surat) Hbr (INHZA)</t>
  </si>
  <si>
    <t>Chennai (ex Madras) (INMAA)</t>
  </si>
  <si>
    <t>040 L</t>
  </si>
  <si>
    <t>Cargo</t>
  </si>
  <si>
    <t>B</t>
  </si>
  <si>
    <t>PS</t>
  </si>
  <si>
    <t>Cargo operations</t>
  </si>
  <si>
    <t>-</t>
  </si>
  <si>
    <t>South Hbr (INMUN)</t>
  </si>
  <si>
    <t>041 B</t>
  </si>
  <si>
    <t>Ballast</t>
  </si>
  <si>
    <t>A</t>
  </si>
  <si>
    <t>E</t>
  </si>
  <si>
    <t>Northern Arm (INVTZ)</t>
  </si>
  <si>
    <t>041 L</t>
  </si>
  <si>
    <t>Paradip Port Hbr (INPPT)</t>
  </si>
  <si>
    <t>042</t>
  </si>
  <si>
    <t>No cargo operations</t>
  </si>
  <si>
    <t>042 L</t>
  </si>
  <si>
    <t>043 B</t>
  </si>
  <si>
    <t>New Mangalore (INNML)</t>
  </si>
  <si>
    <t>043 L</t>
  </si>
  <si>
    <t>044 B</t>
  </si>
  <si>
    <t>Pir Pau (INBOM)</t>
  </si>
  <si>
    <t>044 L</t>
  </si>
  <si>
    <t>45 B</t>
  </si>
  <si>
    <t>45 L</t>
  </si>
  <si>
    <t>46B</t>
  </si>
  <si>
    <t>046 L</t>
  </si>
  <si>
    <t>46L</t>
  </si>
  <si>
    <t>47B</t>
  </si>
  <si>
    <t>47L</t>
  </si>
  <si>
    <t>48B</t>
  </si>
  <si>
    <t>48L</t>
  </si>
  <si>
    <t>49B</t>
  </si>
  <si>
    <t>50B</t>
  </si>
  <si>
    <t>50L</t>
  </si>
  <si>
    <t>51B</t>
  </si>
  <si>
    <t>51L</t>
  </si>
  <si>
    <t>052 B</t>
  </si>
  <si>
    <t>in progress</t>
  </si>
  <si>
    <t>NOON TIME</t>
  </si>
  <si>
    <t>LAT</t>
  </si>
  <si>
    <t>LON</t>
  </si>
  <si>
    <t>TIME SINCE LAST REPORT [H]</t>
  </si>
  <si>
    <t>DISTANCE [NM]</t>
  </si>
  <si>
    <t>CARGO TOTAL MASS</t>
  </si>
  <si>
    <t>LFO [MT]</t>
  </si>
  <si>
    <t>MGO [MT]</t>
  </si>
  <si>
    <t>Position report</t>
  </si>
  <si>
    <t>0° 00.00' N</t>
  </si>
  <si>
    <t>0° 00.00' E</t>
  </si>
  <si>
    <t>24:00</t>
  </si>
  <si>
    <t>03:00</t>
  </si>
  <si>
    <t>Arrival report</t>
  </si>
  <si>
    <t>Position report in port</t>
  </si>
  <si>
    <t>Departure report</t>
  </si>
  <si>
    <t>01:48</t>
  </si>
  <si>
    <t>04:00</t>
  </si>
  <si>
    <t>05:00</t>
  </si>
  <si>
    <t>04:48</t>
  </si>
  <si>
    <t>01:00</t>
  </si>
  <si>
    <t>19:00</t>
  </si>
  <si>
    <t>00:48</t>
  </si>
  <si>
    <t>13:00</t>
  </si>
  <si>
    <t>15:18</t>
  </si>
  <si>
    <t>01:18</t>
  </si>
  <si>
    <t>20:00</t>
  </si>
  <si>
    <t>20° 07.94' N</t>
  </si>
  <si>
    <t>86° 52.03' E</t>
  </si>
  <si>
    <t>02:00</t>
  </si>
  <si>
    <t>19° 46.25' N</t>
  </si>
  <si>
    <t>86° 30.32' E</t>
  </si>
  <si>
    <t>15° 35.82' N</t>
  </si>
  <si>
    <t>85° 18.87' E</t>
  </si>
  <si>
    <t>11° 44.50' N</t>
  </si>
  <si>
    <t>83° 56.01' E</t>
  </si>
  <si>
    <t>7° 46.98' N</t>
  </si>
  <si>
    <t>82° 32.12' E</t>
  </si>
  <si>
    <t>6° 18.91' N</t>
  </si>
  <si>
    <t>79° 19.54' E</t>
  </si>
  <si>
    <t>8° 46.22' N</t>
  </si>
  <si>
    <t>76° 00.29' E</t>
  </si>
  <si>
    <t>12° 49.38' N</t>
  </si>
  <si>
    <t>73° 44.19' E</t>
  </si>
  <si>
    <t>17° 05.75' N</t>
  </si>
  <si>
    <t>72° 39.92' E</t>
  </si>
  <si>
    <t>20° 45.22' N</t>
  </si>
  <si>
    <t>20° 53.00' N</t>
  </si>
  <si>
    <t>72° 36.00' E</t>
  </si>
  <si>
    <t>22:12</t>
  </si>
  <si>
    <t>20° 10.97' N</t>
  </si>
  <si>
    <t>72° 21.20' E</t>
  </si>
  <si>
    <t>08:18</t>
  </si>
  <si>
    <t>15:42</t>
  </si>
  <si>
    <t>20° 02.51' N</t>
  </si>
  <si>
    <t>72° 24.83' E</t>
  </si>
  <si>
    <t>20° 52.64' N</t>
  </si>
  <si>
    <t>72° 38.20' E</t>
  </si>
  <si>
    <t>21° 05.14' N</t>
  </si>
  <si>
    <t>72° 39.46' E</t>
  </si>
  <si>
    <t>03:06</t>
  </si>
  <si>
    <t>20:54</t>
  </si>
  <si>
    <t>72° 36.49' E</t>
  </si>
  <si>
    <t>20° 57.82' N</t>
  </si>
  <si>
    <t>72° 33.19' E</t>
  </si>
  <si>
    <t>01:30</t>
  </si>
  <si>
    <t>19° 08.34' N</t>
  </si>
  <si>
    <t>72° 27.76' E</t>
  </si>
  <si>
    <t>09:30</t>
  </si>
  <si>
    <t>14° 49.63' N</t>
  </si>
  <si>
    <t>73° 32.66' E</t>
  </si>
  <si>
    <t>12° 57.92' N</t>
  </si>
  <si>
    <t>74° 29.21' E</t>
  </si>
  <si>
    <t>12:00</t>
  </si>
  <si>
    <t>12° 55.89' N</t>
  </si>
  <si>
    <t>74° 49.03' E</t>
  </si>
  <si>
    <t>02:48</t>
  </si>
  <si>
    <t>09:12</t>
  </si>
  <si>
    <t>07:24</t>
  </si>
  <si>
    <t>12° 53.52' N</t>
  </si>
  <si>
    <t>74° 44.64' E</t>
  </si>
  <si>
    <t>01:06</t>
  </si>
  <si>
    <t>10° 10.90' N</t>
  </si>
  <si>
    <t>75° 11.17' E</t>
  </si>
  <si>
    <t>15:30</t>
  </si>
  <si>
    <t>6° 57.64' N</t>
  </si>
  <si>
    <t>78° 13.14' E</t>
  </si>
  <si>
    <t>6° 25.03' N</t>
  </si>
  <si>
    <t>81° 58.45' E</t>
  </si>
  <si>
    <t>10° 29.77' N</t>
  </si>
  <si>
    <t>81° 28.36' E</t>
  </si>
  <si>
    <t>13° 00.55' N</t>
  </si>
  <si>
    <t>80° 31.32' E</t>
  </si>
  <si>
    <t>14:18</t>
  </si>
  <si>
    <t>13° 05.21' N</t>
  </si>
  <si>
    <t>80° 17.63' E</t>
  </si>
  <si>
    <t>06:54</t>
  </si>
  <si>
    <t>13° 06.54' N</t>
  </si>
  <si>
    <t>80° 22.11' E</t>
  </si>
  <si>
    <t>01:12</t>
  </si>
  <si>
    <t>9° 23.25' N</t>
  </si>
  <si>
    <t>81° 56.40' E</t>
  </si>
  <si>
    <t>21:30</t>
  </si>
  <si>
    <t>5° 49.19' N</t>
  </si>
  <si>
    <t>80° 01.54' E</t>
  </si>
  <si>
    <t>8° 32.15' N</t>
  </si>
  <si>
    <t>76° 08.44' E</t>
  </si>
  <si>
    <t>12° 35.86' N</t>
  </si>
  <si>
    <t>73° 50.42' E</t>
  </si>
  <si>
    <t>17° 08.25' N</t>
  </si>
  <si>
    <t>72° 39.67' E</t>
  </si>
  <si>
    <t>20° 48.33' N</t>
  </si>
  <si>
    <t>72° 37.27' E</t>
  </si>
  <si>
    <t>18:00</t>
  </si>
  <si>
    <t>06:00</t>
  </si>
  <si>
    <t>21° 05.17' N</t>
  </si>
  <si>
    <t>19:12</t>
  </si>
  <si>
    <t>16:00</t>
  </si>
  <si>
    <t>20° 55.15' N</t>
  </si>
  <si>
    <t>72° 36.66' E</t>
  </si>
  <si>
    <t>06:30</t>
  </si>
  <si>
    <t>19° 01.14' N</t>
  </si>
  <si>
    <t>72° 29.32' E</t>
  </si>
  <si>
    <t>18° 57.01' N</t>
  </si>
  <si>
    <t>72° 56.79' E</t>
  </si>
  <si>
    <t>12:12</t>
  </si>
  <si>
    <t>08:48</t>
  </si>
  <si>
    <t>19:52</t>
  </si>
  <si>
    <t>18° 51.07' N</t>
  </si>
  <si>
    <t>72° 36.50' E</t>
  </si>
  <si>
    <t>02:38</t>
  </si>
  <si>
    <t>19° 06.30' N</t>
  </si>
  <si>
    <t>72° 30.00' E</t>
  </si>
  <si>
    <t>20° 40.04' N</t>
  </si>
  <si>
    <t>72° 32.54' E</t>
  </si>
  <si>
    <t>08:00</t>
  </si>
  <si>
    <t>21° 05.15' N</t>
  </si>
  <si>
    <t>72° 39.45' E</t>
  </si>
  <si>
    <t>09:06</t>
  </si>
  <si>
    <t>20° 54.23' N</t>
  </si>
  <si>
    <t>72° 35.66' E</t>
  </si>
  <si>
    <t>20° 25.70' N</t>
  </si>
  <si>
    <t>72° 31.00' E</t>
  </si>
  <si>
    <t>02:30</t>
  </si>
  <si>
    <t>16° 01.26' N</t>
  </si>
  <si>
    <t>73° 01.35' E</t>
  </si>
  <si>
    <t>12° 58.37' N</t>
  </si>
  <si>
    <t>74° 26.66' E</t>
  </si>
  <si>
    <t>74° 49.01' E</t>
  </si>
  <si>
    <t>04:12</t>
  </si>
  <si>
    <t>12° 49.36' N</t>
  </si>
  <si>
    <t>74° 41.20' E</t>
  </si>
  <si>
    <t>11° 39.00' N</t>
  </si>
  <si>
    <t>74° 39.70' E</t>
  </si>
  <si>
    <t>7° 55.40' N</t>
  </si>
  <si>
    <t>76° 50.40' E</t>
  </si>
  <si>
    <t>5° 42.00' N</t>
  </si>
  <si>
    <t>80° 39.10' E</t>
  </si>
  <si>
    <t>9° 07.26' N</t>
  </si>
  <si>
    <t>81° 50.18' E</t>
  </si>
  <si>
    <t>12° 53.50' N</t>
  </si>
  <si>
    <t>80° 42.05' E</t>
  </si>
  <si>
    <t>19:30</t>
  </si>
  <si>
    <t>13° 05.00' N</t>
  </si>
  <si>
    <t>80° 17.00' E</t>
  </si>
  <si>
    <t>04:30</t>
  </si>
  <si>
    <t>03:30</t>
  </si>
  <si>
    <t>13° 03.10' N</t>
  </si>
  <si>
    <t>80° 27.90' E</t>
  </si>
  <si>
    <t>10° 10.05' N</t>
  </si>
  <si>
    <t>81° 46.70' E</t>
  </si>
  <si>
    <t>5° 59.00' N</t>
  </si>
  <si>
    <t>81° 27.80' E</t>
  </si>
  <si>
    <t>7° 38.04' N</t>
  </si>
  <si>
    <t>77° 14.30' E</t>
  </si>
  <si>
    <t>11° 18.04' N</t>
  </si>
  <si>
    <t>74° 32.60' E</t>
  </si>
  <si>
    <t>15° 45.00' N</t>
  </si>
  <si>
    <t>72° 47.07' E</t>
  </si>
  <si>
    <t>20° 12.10' N</t>
  </si>
  <si>
    <t>72° 30.40' E</t>
  </si>
  <si>
    <t>20° 41.09' N</t>
  </si>
  <si>
    <t>72° 34.40' E</t>
  </si>
  <si>
    <t>20° 48.42' N</t>
  </si>
  <si>
    <t>72° 37.05' E</t>
  </si>
  <si>
    <t>21:00</t>
  </si>
  <si>
    <t>20° 48.57' N</t>
  </si>
  <si>
    <t>72° 37.09' E</t>
  </si>
  <si>
    <t>21° 05.41' N</t>
  </si>
  <si>
    <t>72° 39.40' E</t>
  </si>
  <si>
    <t>13:42</t>
  </si>
  <si>
    <t>10:18</t>
  </si>
  <si>
    <t>20° 52.70' N</t>
  </si>
  <si>
    <t>72° 34.50' E</t>
  </si>
  <si>
    <t>18° 58.00' N</t>
  </si>
  <si>
    <t>72° 30.20' E</t>
  </si>
  <si>
    <t>10:00</t>
  </si>
  <si>
    <t>18° 44.40' N</t>
  </si>
  <si>
    <t>72° 35.70' E</t>
  </si>
  <si>
    <t>18° 44.50' N</t>
  </si>
  <si>
    <t>18° 44.49' N</t>
  </si>
  <si>
    <t>72° 35.78' E</t>
  </si>
  <si>
    <t>18° 47.90' N</t>
  </si>
  <si>
    <t>72° 35.10' E</t>
  </si>
  <si>
    <t>18° 56.97' N</t>
  </si>
  <si>
    <t>72° 56.77' E</t>
  </si>
  <si>
    <t>09:54</t>
  </si>
  <si>
    <t>18° 48.30' N</t>
  </si>
  <si>
    <t>72° 32.76' E</t>
  </si>
  <si>
    <t>02:54</t>
  </si>
  <si>
    <t>17° 33.30' N</t>
  </si>
  <si>
    <t>72° 41.40' E</t>
  </si>
  <si>
    <t>13° 11.66' N</t>
  </si>
  <si>
    <t>74° 05.40' E</t>
  </si>
  <si>
    <t>12° 57.17' N</t>
  </si>
  <si>
    <t>74° 29.33' E</t>
  </si>
  <si>
    <t>12° 55.90' N</t>
  </si>
  <si>
    <t>74° 49.00' E</t>
  </si>
  <si>
    <t>03:42</t>
  </si>
  <si>
    <t>17:18</t>
  </si>
  <si>
    <t>00:06</t>
  </si>
  <si>
    <t>12° 52.64' N</t>
  </si>
  <si>
    <t>74° 43.98' E</t>
  </si>
  <si>
    <t>00:54</t>
  </si>
  <si>
    <t>8° 45.50' N</t>
  </si>
  <si>
    <t>75° 54.40' E</t>
  </si>
  <si>
    <t>23:00</t>
  </si>
  <si>
    <t>5° 59.14' N</t>
  </si>
  <si>
    <t>79° 33.40' E</t>
  </si>
  <si>
    <t>7° 57.50' N</t>
  </si>
  <si>
    <t>82° 09.40' E</t>
  </si>
  <si>
    <t>12° 30.49' N</t>
  </si>
  <si>
    <t>80° 58.05' E</t>
  </si>
  <si>
    <t>12° 58.02' N</t>
  </si>
  <si>
    <t>80° 36.58' E</t>
  </si>
  <si>
    <t>13° 05.30' N</t>
  </si>
  <si>
    <t>80° 17.70' E</t>
  </si>
  <si>
    <t>05:18</t>
  </si>
  <si>
    <t>11:40</t>
  </si>
  <si>
    <t>13° 03.74' N</t>
  </si>
  <si>
    <t>80° 27.11' E</t>
  </si>
  <si>
    <t>01:20</t>
  </si>
  <si>
    <t>11° 19.00' N</t>
  </si>
  <si>
    <t>81° 25.38' E</t>
  </si>
  <si>
    <t>11:00</t>
  </si>
  <si>
    <t>6° 56.79' N</t>
  </si>
  <si>
    <t>82° 17.47' E</t>
  </si>
  <si>
    <t>7° 02.01' N</t>
  </si>
  <si>
    <t>78° 11.09' E</t>
  </si>
  <si>
    <t>10° 22.88' N</t>
  </si>
  <si>
    <t>75° 04.02' E</t>
  </si>
  <si>
    <t>14° 23.15' N</t>
  </si>
  <si>
    <t>72° 50.65' E</t>
  </si>
  <si>
    <t>19° 01.09' N</t>
  </si>
  <si>
    <t>72° 30.87' E</t>
  </si>
  <si>
    <t>20° 41.79' N</t>
  </si>
  <si>
    <t>72° 32.66' E</t>
  </si>
  <si>
    <t>07:30</t>
  </si>
  <si>
    <t>20° 48.26' N</t>
  </si>
  <si>
    <t>72° 37.03' E</t>
  </si>
  <si>
    <t>02:42</t>
  </si>
  <si>
    <t>20° 48.30' N</t>
  </si>
  <si>
    <t>13:48</t>
  </si>
  <si>
    <t>11:24</t>
  </si>
  <si>
    <t>20° 53.40' N</t>
  </si>
  <si>
    <t>72° 33.95' E</t>
  </si>
  <si>
    <t>01:36</t>
  </si>
  <si>
    <t>19° 01.60' N</t>
  </si>
  <si>
    <t>72° 29.27' E</t>
  </si>
  <si>
    <t>14° 58.30' N</t>
  </si>
  <si>
    <t>73° 29.14' E</t>
  </si>
  <si>
    <t>12° 56.50' N</t>
  </si>
  <si>
    <t>74° 30.01' E</t>
  </si>
  <si>
    <t>13:24</t>
  </si>
  <si>
    <t>12° 57.81' N</t>
  </si>
  <si>
    <t>74° 37.90' E</t>
  </si>
  <si>
    <t>12° 57.80' N</t>
  </si>
  <si>
    <t>74° 38.03' E</t>
  </si>
  <si>
    <t>12° 55.78' N</t>
  </si>
  <si>
    <t>74° 48.93' E</t>
  </si>
  <si>
    <t>07:54</t>
  </si>
  <si>
    <t>16:06</t>
  </si>
  <si>
    <t>00:12</t>
  </si>
  <si>
    <t>12° 53.09' N</t>
  </si>
  <si>
    <t>74° 44.36' E</t>
  </si>
  <si>
    <t>9° 02.09' N</t>
  </si>
  <si>
    <t>75° 44.55' E</t>
  </si>
  <si>
    <t>6° 17.50' N</t>
  </si>
  <si>
    <t>79° 10.56' E</t>
  </si>
  <si>
    <t>7° 28.28' N</t>
  </si>
  <si>
    <t>82° 17.65' E</t>
  </si>
  <si>
    <t>11° 48.18' N</t>
  </si>
  <si>
    <t>81° 13.71' E</t>
  </si>
  <si>
    <t>13° 02.19' N</t>
  </si>
  <si>
    <t>80° 29.01' E</t>
  </si>
  <si>
    <t>13° 05.33' N</t>
  </si>
  <si>
    <t>80° 17.73' E</t>
  </si>
  <si>
    <t>04:06</t>
  </si>
  <si>
    <t>11:54</t>
  </si>
  <si>
    <t>18:50</t>
  </si>
  <si>
    <t>13° 04.96' N</t>
  </si>
  <si>
    <t>80° 27.32' E</t>
  </si>
  <si>
    <t>01:22</t>
  </si>
  <si>
    <t>12° 34.30' N</t>
  </si>
  <si>
    <t>80° 56.49' E</t>
  </si>
  <si>
    <t>03:48</t>
  </si>
  <si>
    <t>8° 15.58' N</t>
  </si>
  <si>
    <t>82° 09.56' E</t>
  </si>
  <si>
    <t>6° 08.18' N</t>
  </si>
  <si>
    <t>79° 30.77' E</t>
  </si>
  <si>
    <t>8° 17.64' N</t>
  </si>
  <si>
    <t>76° 19.46' E</t>
  </si>
  <si>
    <t>12° 07.18' N</t>
  </si>
  <si>
    <t>74° 06.44' E</t>
  </si>
  <si>
    <t>14° 29.87' N</t>
  </si>
  <si>
    <t>71° 07.05' E</t>
  </si>
  <si>
    <t>17° 17.60' N</t>
  </si>
  <si>
    <t>69° 30.06' E</t>
  </si>
  <si>
    <t>20° 09.01' N</t>
  </si>
  <si>
    <t>72° 27.77' E</t>
  </si>
  <si>
    <t>20° 38.17' N</t>
  </si>
  <si>
    <t>72° 32.63' E</t>
  </si>
  <si>
    <t>20° 54.29' N</t>
  </si>
  <si>
    <t>72° 38.70' E</t>
  </si>
  <si>
    <t>20° 54.50' N</t>
  </si>
  <si>
    <t>72° 38.61' E</t>
  </si>
  <si>
    <t>18:52</t>
  </si>
  <si>
    <t>72° 38.60' E</t>
  </si>
  <si>
    <t>21° 05.42' N</t>
  </si>
  <si>
    <t>16:16</t>
  </si>
  <si>
    <t>20° 52.72' N</t>
  </si>
  <si>
    <t>72° 35.52' E</t>
  </si>
  <si>
    <t>01:44</t>
  </si>
  <si>
    <t>19° 45.75' N</t>
  </si>
  <si>
    <t>72° 28.21' E</t>
  </si>
  <si>
    <t>15° 40.85' N</t>
  </si>
  <si>
    <t>72° 48.63' E</t>
  </si>
  <si>
    <t>12° 32.90' N</t>
  </si>
  <si>
    <t>73° 52.40' E</t>
  </si>
  <si>
    <t>8° 44.95' N</t>
  </si>
  <si>
    <t>75° 54.46' E</t>
  </si>
  <si>
    <t>6° 04.34' N</t>
  </si>
  <si>
    <t>79° 28.84' E</t>
  </si>
  <si>
    <t>7° 28.83' N</t>
  </si>
  <si>
    <t>82° 19.19' E</t>
  </si>
  <si>
    <t>11° 32.56' N</t>
  </si>
  <si>
    <t>81° 35.38' E</t>
  </si>
  <si>
    <t>13° 03.95' N</t>
  </si>
  <si>
    <t>80° 26.13' E</t>
  </si>
  <si>
    <t>10:48</t>
  </si>
  <si>
    <t>13° 05.31' N</t>
  </si>
  <si>
    <t>80° 17.71' E</t>
  </si>
  <si>
    <t>02:12</t>
  </si>
  <si>
    <t>19:22</t>
  </si>
  <si>
    <t>13° 04.82' N</t>
  </si>
  <si>
    <t>80° 25.60' E</t>
  </si>
  <si>
    <t>01:08</t>
  </si>
  <si>
    <t>12° 39.77' N</t>
  </si>
  <si>
    <t>80° 54.53' E</t>
  </si>
  <si>
    <t>8° 43.64' N</t>
  </si>
  <si>
    <t>82° 04.30' E</t>
  </si>
  <si>
    <t>5° 48.54' N</t>
  </si>
  <si>
    <t>80° 36.91' E</t>
  </si>
  <si>
    <t>7° 42.86' N</t>
  </si>
  <si>
    <t>77° 00.00' E</t>
  </si>
  <si>
    <t>9° 37.23' N</t>
  </si>
  <si>
    <t>75° 16.27' E</t>
  </si>
  <si>
    <t>13° 38.53' N</t>
  </si>
  <si>
    <t>72° 55.27' E</t>
  </si>
  <si>
    <t>17° 44.28' N</t>
  </si>
  <si>
    <t>71° 02.37' E</t>
  </si>
  <si>
    <t>20° 30.29' N</t>
  </si>
  <si>
    <t>72° 34.03' E</t>
  </si>
  <si>
    <t>22:30</t>
  </si>
  <si>
    <t>20° 28.65' N</t>
  </si>
  <si>
    <t>72° 33.56' E</t>
  </si>
  <si>
    <t>20° 19.02' N</t>
  </si>
  <si>
    <t>72° 30.15' E</t>
  </si>
  <si>
    <t>01:31</t>
  </si>
  <si>
    <t>20° 15.43' N</t>
  </si>
  <si>
    <t>72° 36.26' E</t>
  </si>
  <si>
    <t>22:29</t>
  </si>
  <si>
    <t>21° 05.75' N</t>
  </si>
  <si>
    <t>08:35</t>
  </si>
  <si>
    <t>15:25</t>
  </si>
  <si>
    <t>21:46</t>
  </si>
  <si>
    <t>20° 42.52' N</t>
  </si>
  <si>
    <t>72° 31.88' E</t>
  </si>
  <si>
    <t>02:14</t>
  </si>
  <si>
    <t>17° 52.13' N</t>
  </si>
  <si>
    <t>70° 56.37' E</t>
  </si>
  <si>
    <t>13° 47.13' N</t>
  </si>
  <si>
    <t>72° 32.78' E</t>
  </si>
  <si>
    <t>10° 32.18' N</t>
  </si>
  <si>
    <t>74° 56.87' E</t>
  </si>
  <si>
    <t>7° 37.45' N</t>
  </si>
  <si>
    <t>77° 10.78' E</t>
  </si>
  <si>
    <t>5° 45.18' N</t>
  </si>
  <si>
    <t>81° 14.34' E</t>
  </si>
  <si>
    <t>9° 30.15' N</t>
  </si>
  <si>
    <t>81° 55.42' E</t>
  </si>
  <si>
    <t>13° 02.39' N</t>
  </si>
  <si>
    <t>80° 29.87' E</t>
  </si>
  <si>
    <t>20:42</t>
  </si>
  <si>
    <t>03:13</t>
  </si>
  <si>
    <t>00:05</t>
  </si>
  <si>
    <t>10:38</t>
  </si>
  <si>
    <t>13° 05.65' N</t>
  </si>
  <si>
    <t>80° 23.10' E</t>
  </si>
  <si>
    <t>01:04</t>
  </si>
  <si>
    <t>11° 10.83' N</t>
  </si>
  <si>
    <t>81° 29.27' E</t>
  </si>
  <si>
    <t>12:18</t>
  </si>
  <si>
    <t>6° 38.37' N</t>
  </si>
  <si>
    <t>82° 06.71' E</t>
  </si>
  <si>
    <t>6° 47.20' N</t>
  </si>
  <si>
    <t>78° 35.06' E</t>
  </si>
  <si>
    <t>9° 03.33' N</t>
  </si>
  <si>
    <t>75° 50.59' E</t>
  </si>
  <si>
    <t>12° 24.90' N</t>
  </si>
  <si>
    <t>73° 59.86' E</t>
  </si>
  <si>
    <t>15° 48.56' N</t>
  </si>
  <si>
    <t>72° 48.74' E</t>
  </si>
  <si>
    <t>19° 13.70' N</t>
  </si>
  <si>
    <t>72° 29.53' E</t>
  </si>
  <si>
    <t>20° 36.49' N</t>
  </si>
  <si>
    <t>72° 32.04' E</t>
  </si>
  <si>
    <t>24° 45.02' N</t>
  </si>
  <si>
    <t>72° 34.21' E</t>
  </si>
  <si>
    <t>16:30</t>
  </si>
  <si>
    <t>21° 05.08' N</t>
  </si>
  <si>
    <t>05:12</t>
  </si>
  <si>
    <t>18:48</t>
  </si>
  <si>
    <t>23:22</t>
  </si>
  <si>
    <t>21° 01.65' N</t>
  </si>
  <si>
    <t>72° 38.93' E</t>
  </si>
  <si>
    <t>00:38</t>
  </si>
  <si>
    <t>20° 56.41' N</t>
  </si>
  <si>
    <t>17° 31.47' N</t>
  </si>
  <si>
    <t>72° 10.66' E</t>
  </si>
  <si>
    <t>14° 16.80' N</t>
  </si>
  <si>
    <t>73° 38.76' E</t>
  </si>
  <si>
    <t>12° 58.35' N</t>
  </si>
  <si>
    <t>74° 24.10' E</t>
  </si>
  <si>
    <t>08:42</t>
  </si>
  <si>
    <t>74° 49.10' E</t>
  </si>
  <si>
    <t>11:06</t>
  </si>
  <si>
    <t>08:06</t>
  </si>
  <si>
    <t>12° 51.64' N</t>
  </si>
  <si>
    <t>74° 43.02' E</t>
  </si>
  <si>
    <t>10° 06.07' N</t>
  </si>
  <si>
    <t>75° 13.62' E</t>
  </si>
  <si>
    <t>15:00</t>
  </si>
  <si>
    <t>6° 54.85' N</t>
  </si>
  <si>
    <t>78° 17.83' E</t>
  </si>
  <si>
    <t>6° 45.05' N</t>
  </si>
  <si>
    <t>82° 13.13' E</t>
  </si>
  <si>
    <t>10° 47.55' N</t>
  </si>
  <si>
    <t>81° 35.86' E</t>
  </si>
  <si>
    <t>12° 56.68' N</t>
  </si>
  <si>
    <t>80° 36.63' E</t>
  </si>
  <si>
    <t>12:30</t>
  </si>
  <si>
    <t>13° 05.20' N</t>
  </si>
  <si>
    <t>06:18</t>
  </si>
  <si>
    <t>02:52</t>
  </si>
  <si>
    <t>13° 02.48' N</t>
  </si>
  <si>
    <t>80° 27.93' E</t>
  </si>
  <si>
    <t>01:38</t>
  </si>
  <si>
    <t>9° 56.60' N</t>
  </si>
  <si>
    <t>81° 50.16' E</t>
  </si>
  <si>
    <t>5° 52.38' N</t>
  </si>
  <si>
    <t>81° 14.08' E</t>
  </si>
  <si>
    <t>7° 35.82' N</t>
  </si>
  <si>
    <t>77° 17.41' E</t>
  </si>
  <si>
    <t>11° 04.01' N</t>
  </si>
  <si>
    <t>74° 40.82' E</t>
  </si>
  <si>
    <t>14° 55.81' N</t>
  </si>
  <si>
    <t>72° 54.86' E</t>
  </si>
  <si>
    <t>19° 22.26' N</t>
  </si>
  <si>
    <t>72° 27.28' E</t>
  </si>
  <si>
    <t>20° 33.56' N</t>
  </si>
  <si>
    <t>72° 32.09' E</t>
  </si>
  <si>
    <t>06:12</t>
  </si>
  <si>
    <t>20° 49.26' N</t>
  </si>
  <si>
    <t>72° 34.82' E</t>
  </si>
  <si>
    <t>17:48</t>
  </si>
  <si>
    <t>21° 05.23' N</t>
  </si>
  <si>
    <t>20:30</t>
  </si>
  <si>
    <t>21° 05.24' N</t>
  </si>
  <si>
    <t>20° 57.27' N</t>
  </si>
  <si>
    <t>72° 35.84' E</t>
  </si>
  <si>
    <t>18° 14.26' N</t>
  </si>
  <si>
    <t>72° 31.42' E</t>
  </si>
  <si>
    <t>15° 09.79' N</t>
  </si>
  <si>
    <t>73° 15.03' E</t>
  </si>
  <si>
    <t>12° 55.81' N</t>
  </si>
  <si>
    <t>74° 28.31' E</t>
  </si>
  <si>
    <t>74° 49.11' E</t>
  </si>
  <si>
    <t>03:24</t>
  </si>
  <si>
    <t>04:36</t>
  </si>
  <si>
    <t>12° 52.22' N</t>
  </si>
  <si>
    <t>74° 43.83' E</t>
  </si>
  <si>
    <t>10° 13.92' N</t>
  </si>
  <si>
    <t>75° 08.07' E</t>
  </si>
  <si>
    <t>7° 06.83' N</t>
  </si>
  <si>
    <t>77° 58.44' E</t>
  </si>
  <si>
    <t>6° 09.80' N</t>
  </si>
  <si>
    <t>81° 47.51' E</t>
  </si>
  <si>
    <t>10° 18.34' N</t>
  </si>
  <si>
    <t>81° 41.25' E</t>
  </si>
  <si>
    <t>12° 58.60' N</t>
  </si>
  <si>
    <t>80° 34.65' E</t>
  </si>
  <si>
    <t>13° 05.40' N</t>
  </si>
  <si>
    <t>80° 17.79' E</t>
  </si>
  <si>
    <t>04:18</t>
  </si>
  <si>
    <t>13° 03.41' N</t>
  </si>
  <si>
    <t>80° 26.75' E</t>
  </si>
  <si>
    <t>00:42</t>
  </si>
  <si>
    <t>9° 31.33' N</t>
  </si>
  <si>
    <t>81° 55.45' E</t>
  </si>
  <si>
    <t>TOTAL</t>
  </si>
  <si>
    <t>Turn #</t>
  </si>
  <si>
    <t>Date</t>
  </si>
  <si>
    <t>User Request</t>
  </si>
  <si>
    <t>Action Taken</t>
  </si>
  <si>
    <t>Details</t>
  </si>
  <si>
    <t>Outcome</t>
  </si>
  <si>
    <t>Populate Log Abstract cols A-F (FROM/TO/Voyage/Departure/Arrival/Leg Purpose) by matching each row's noon-time date against passages in 'Passages List' B:G.</t>
  </si>
  <si>
    <t>Wrote INDEX/MATCH formulas in Log Abstract A2:F351 keyed on noon time (col H).</t>
  </si>
  <si>
    <t>Formula: =IF($H2="","",INDEX('Passages List'!B$3:B$65,MATCH($H2,'Passages List'!$E$3:$E$65,1))) copied across A:F and down to row 351. Approximate MATCH on sorted DEPARTURE column places each noon time in its passage window. D:E formatted as dates to match noon-time col.</t>
  </si>
  <si>
    <t>351 rows populated, 0 formula errors. Arrival reports map to port-stay rows, departure reports to new legs.</t>
  </si>
  <si>
    <t xml:space="preserve">Event </t>
  </si>
  <si>
    <t>COSP</t>
  </si>
  <si>
    <t>EOSP</t>
  </si>
  <si>
    <t>45 L - 1</t>
  </si>
  <si>
    <t>45 L - 2</t>
  </si>
  <si>
    <t>46L - 2</t>
  </si>
  <si>
    <t>46 L - 1</t>
  </si>
  <si>
    <t>46L - 3</t>
  </si>
  <si>
    <t>44 L</t>
  </si>
  <si>
    <t>44 B</t>
  </si>
  <si>
    <t>43 L - 2</t>
  </si>
  <si>
    <t>43 L - 1</t>
  </si>
  <si>
    <t>43 B</t>
  </si>
  <si>
    <t>42 L</t>
  </si>
  <si>
    <t>49L</t>
  </si>
  <si>
    <t>50L - 1</t>
  </si>
  <si>
    <t>50L - 2</t>
  </si>
  <si>
    <t>51L - 1</t>
  </si>
  <si>
    <t>51L - 2</t>
  </si>
  <si>
    <t>Noon At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</si>
</sst>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7B44986-02DA-2447-9C71-2BE83A50993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6e2fedd-8d2f-46ee-9793-d13e413fd2e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BBAA-E537-2C4E-A698-49B02BAB014C}">
  <dimension ref="A1:F2"/>
  <sheetViews>
    <sheetView workbookViewId="0">
      <selection activeCell="D35" sqref="D35"/>
    </sheetView>
  </sheetViews>
  <sheetFormatPr baseColWidth="10" defaultRowHeight="16" x14ac:dyDescent="0.2"/>
  <cols>
    <col min="1" max="1" width="7.5" customWidth="1"/>
    <col min="3" max="6" width="36.6640625" customWidth="1"/>
  </cols>
  <sheetData>
    <row r="1" spans="1:6" x14ac:dyDescent="0.2">
      <c r="A1" s="2" t="s">
        <v>612</v>
      </c>
      <c r="B1" s="2" t="s">
        <v>613</v>
      </c>
      <c r="C1" s="2" t="s">
        <v>614</v>
      </c>
      <c r="D1" s="2" t="s">
        <v>615</v>
      </c>
      <c r="E1" s="2" t="s">
        <v>616</v>
      </c>
      <c r="F1" s="2" t="s">
        <v>617</v>
      </c>
    </row>
    <row r="2" spans="1:6" x14ac:dyDescent="0.2">
      <c r="A2">
        <v>1</v>
      </c>
      <c r="B2" s="1">
        <v>46249</v>
      </c>
      <c r="C2" t="s">
        <v>618</v>
      </c>
      <c r="D2" t="s">
        <v>619</v>
      </c>
      <c r="E2" t="s">
        <v>620</v>
      </c>
      <c r="F2" t="s">
        <v>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9521813</v>
      </c>
    </row>
    <row r="3" spans="1:2" x14ac:dyDescent="0.2">
      <c r="A3" t="s">
        <v>3</v>
      </c>
      <c r="B3" s="1">
        <v>40984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15</v>
      </c>
    </row>
  </sheetData>
  <pageMargins left="0.7" right="0.7" top="0.75" bottom="0.75" header="0.3" footer="0.3"/>
  <ignoredErrors>
    <ignoredError sqref="A1:B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baseColWidth="10" defaultRowHeight="16" x14ac:dyDescent="0.2"/>
  <sheetData>
    <row r="1" spans="1:5" x14ac:dyDescent="0.2">
      <c r="A1" t="s">
        <v>16</v>
      </c>
      <c r="B1" t="s">
        <v>17</v>
      </c>
      <c r="C1" t="s">
        <v>17</v>
      </c>
      <c r="D1" t="s">
        <v>18</v>
      </c>
      <c r="E1" t="s">
        <v>17</v>
      </c>
    </row>
    <row r="2" spans="1:5" x14ac:dyDescent="0.2">
      <c r="A2">
        <v>10.68</v>
      </c>
      <c r="B2" t="s">
        <v>19</v>
      </c>
      <c r="C2" t="s">
        <v>20</v>
      </c>
      <c r="D2">
        <v>10.68</v>
      </c>
      <c r="E2" t="s">
        <v>21</v>
      </c>
    </row>
  </sheetData>
  <pageMargins left="0.7" right="0.7" top="0.75" bottom="0.75" header="0.3" footer="0.3"/>
  <ignoredErrors>
    <ignoredError sqref="A1:E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baseColWidth="10" defaultRowHeight="16" x14ac:dyDescent="0.2"/>
  <sheetData>
    <row r="1" spans="1:3" x14ac:dyDescent="0.2">
      <c r="A1" t="s">
        <v>22</v>
      </c>
      <c r="B1" s="1">
        <v>46023</v>
      </c>
      <c r="C1" s="1">
        <v>46249</v>
      </c>
    </row>
    <row r="2" spans="1:3" x14ac:dyDescent="0.2">
      <c r="A2" t="s">
        <v>17</v>
      </c>
      <c r="B2" t="s">
        <v>23</v>
      </c>
    </row>
    <row r="3" spans="1:3" x14ac:dyDescent="0.2">
      <c r="A3" t="s">
        <v>24</v>
      </c>
      <c r="B3">
        <v>33864</v>
      </c>
    </row>
    <row r="4" spans="1:3" x14ac:dyDescent="0.2">
      <c r="A4" t="s">
        <v>25</v>
      </c>
      <c r="B4">
        <v>5435</v>
      </c>
    </row>
    <row r="5" spans="1:3" x14ac:dyDescent="0.2">
      <c r="A5" t="s">
        <v>26</v>
      </c>
      <c r="B5">
        <v>2243.41</v>
      </c>
    </row>
    <row r="6" spans="1:3" x14ac:dyDescent="0.2">
      <c r="A6" t="s">
        <v>27</v>
      </c>
      <c r="B6">
        <v>112.91</v>
      </c>
    </row>
    <row r="7" spans="1:3" x14ac:dyDescent="0.2">
      <c r="A7" t="s">
        <v>28</v>
      </c>
      <c r="B7">
        <v>2130.5</v>
      </c>
    </row>
    <row r="8" spans="1:3" x14ac:dyDescent="0.2">
      <c r="A8" t="s">
        <v>29</v>
      </c>
      <c r="B8">
        <v>7075.19</v>
      </c>
    </row>
  </sheetData>
  <pageMargins left="0.7" right="0.7" top="0.75" bottom="0.75" header="0.3" footer="0.3"/>
  <ignoredErrors>
    <ignoredError sqref="A1:C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/>
  </sheetViews>
  <sheetFormatPr baseColWidth="10" defaultRowHeight="16" x14ac:dyDescent="0.2"/>
  <sheetData>
    <row r="1" spans="1:6" x14ac:dyDescent="0.2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3" spans="1:6" x14ac:dyDescent="0.2">
      <c r="A3" t="s">
        <v>36</v>
      </c>
      <c r="B3" t="s">
        <v>37</v>
      </c>
    </row>
  </sheetData>
  <pageMargins left="0.7" right="0.7" top="0.75" bottom="0.75" header="0.3" footer="0.3"/>
  <ignoredErrors>
    <ignoredError sqref="A1:F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5"/>
  <sheetViews>
    <sheetView workbookViewId="0">
      <selection activeCell="B2" sqref="B2:G2"/>
    </sheetView>
  </sheetViews>
  <sheetFormatPr baseColWidth="10" defaultRowHeight="16" x14ac:dyDescent="0.2"/>
  <cols>
    <col min="2" max="3" width="27.1640625" bestFit="1" customWidth="1"/>
    <col min="4" max="4" width="16.5" bestFit="1" customWidth="1"/>
    <col min="6" max="6" width="13.5" bestFit="1" customWidth="1"/>
    <col min="7" max="7" width="17.83203125" bestFit="1" customWidth="1"/>
    <col min="8" max="8" width="12.6640625" bestFit="1" customWidth="1"/>
    <col min="9" max="9" width="8.33203125" bestFit="1" customWidth="1"/>
  </cols>
  <sheetData>
    <row r="1" spans="1:13" x14ac:dyDescent="0.2">
      <c r="A1" t="s">
        <v>17</v>
      </c>
      <c r="B1" t="s">
        <v>17</v>
      </c>
      <c r="C1" t="s">
        <v>17</v>
      </c>
      <c r="D1" t="s">
        <v>17</v>
      </c>
      <c r="E1" t="s">
        <v>17</v>
      </c>
      <c r="F1" t="s">
        <v>17</v>
      </c>
      <c r="G1" t="s">
        <v>17</v>
      </c>
      <c r="H1" t="s">
        <v>17</v>
      </c>
      <c r="I1" t="s">
        <v>17</v>
      </c>
      <c r="J1" t="s">
        <v>38</v>
      </c>
      <c r="K1" t="s">
        <v>39</v>
      </c>
      <c r="L1" t="s">
        <v>17</v>
      </c>
      <c r="M1" t="s">
        <v>17</v>
      </c>
    </row>
    <row r="2" spans="1:13" x14ac:dyDescent="0.2">
      <c r="A2" t="s">
        <v>17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16</v>
      </c>
      <c r="M2" t="s">
        <v>18</v>
      </c>
    </row>
    <row r="3" spans="1:13" x14ac:dyDescent="0.2">
      <c r="A3">
        <v>1</v>
      </c>
      <c r="B3" t="s">
        <v>50</v>
      </c>
      <c r="C3" t="s">
        <v>51</v>
      </c>
      <c r="D3" t="s">
        <v>52</v>
      </c>
      <c r="E3" s="1">
        <v>46019.654166666667</v>
      </c>
      <c r="F3" s="1">
        <v>46026.491666666669</v>
      </c>
      <c r="G3" t="s">
        <v>53</v>
      </c>
      <c r="H3">
        <v>1681</v>
      </c>
      <c r="I3">
        <v>18155</v>
      </c>
      <c r="J3" t="s">
        <v>17</v>
      </c>
      <c r="K3">
        <v>347.96</v>
      </c>
      <c r="L3" t="s">
        <v>54</v>
      </c>
      <c r="M3">
        <v>10.58</v>
      </c>
    </row>
    <row r="4" spans="1:13" x14ac:dyDescent="0.2">
      <c r="A4" t="s">
        <v>55</v>
      </c>
      <c r="B4" t="s">
        <v>17</v>
      </c>
      <c r="C4" t="s">
        <v>51</v>
      </c>
      <c r="D4" t="s">
        <v>52</v>
      </c>
      <c r="E4" s="1">
        <v>46026.491666666669</v>
      </c>
      <c r="F4" s="1">
        <v>46028.029166666667</v>
      </c>
      <c r="G4" t="s">
        <v>56</v>
      </c>
      <c r="H4">
        <v>0</v>
      </c>
      <c r="I4">
        <v>0</v>
      </c>
      <c r="J4" t="s">
        <v>17</v>
      </c>
      <c r="K4">
        <v>18.72</v>
      </c>
      <c r="L4" t="s">
        <v>57</v>
      </c>
      <c r="M4" t="s">
        <v>17</v>
      </c>
    </row>
    <row r="5" spans="1:13" x14ac:dyDescent="0.2">
      <c r="A5">
        <v>3</v>
      </c>
      <c r="B5" t="s">
        <v>51</v>
      </c>
      <c r="C5" t="s">
        <v>58</v>
      </c>
      <c r="D5" t="s">
        <v>59</v>
      </c>
      <c r="E5" s="1">
        <v>46028.029166666667</v>
      </c>
      <c r="F5" s="1">
        <v>46034.70416666667</v>
      </c>
      <c r="G5" t="s">
        <v>60</v>
      </c>
      <c r="H5">
        <v>1862</v>
      </c>
      <c r="I5">
        <v>0</v>
      </c>
      <c r="J5" t="s">
        <v>17</v>
      </c>
      <c r="K5">
        <v>321.82</v>
      </c>
      <c r="L5" t="s">
        <v>61</v>
      </c>
      <c r="M5">
        <v>8.84</v>
      </c>
    </row>
    <row r="6" spans="1:13" x14ac:dyDescent="0.2">
      <c r="A6" t="s">
        <v>55</v>
      </c>
      <c r="B6" t="s">
        <v>17</v>
      </c>
      <c r="C6" t="s">
        <v>58</v>
      </c>
      <c r="D6" t="s">
        <v>59</v>
      </c>
      <c r="E6" s="1">
        <v>46034.70416666667</v>
      </c>
      <c r="F6" s="1">
        <v>46038.029166666667</v>
      </c>
      <c r="G6" t="s">
        <v>56</v>
      </c>
      <c r="H6">
        <v>6</v>
      </c>
      <c r="I6">
        <v>18000</v>
      </c>
      <c r="J6" t="s">
        <v>17</v>
      </c>
      <c r="K6">
        <v>37.630000000000003</v>
      </c>
      <c r="L6" t="s">
        <v>62</v>
      </c>
      <c r="M6">
        <v>320.62</v>
      </c>
    </row>
    <row r="7" spans="1:13" x14ac:dyDescent="0.2">
      <c r="A7">
        <v>5</v>
      </c>
      <c r="B7" t="s">
        <v>58</v>
      </c>
      <c r="C7" t="s">
        <v>63</v>
      </c>
      <c r="D7" t="s">
        <v>64</v>
      </c>
      <c r="E7" s="1">
        <v>46038.029166666667</v>
      </c>
      <c r="F7" s="1">
        <v>46046.479166666664</v>
      </c>
      <c r="G7" t="s">
        <v>53</v>
      </c>
      <c r="H7">
        <v>2141</v>
      </c>
      <c r="I7">
        <v>18000</v>
      </c>
      <c r="J7" t="s">
        <v>17</v>
      </c>
      <c r="K7">
        <v>427.37</v>
      </c>
      <c r="L7" t="s">
        <v>54</v>
      </c>
      <c r="M7">
        <v>10.199999999999999</v>
      </c>
    </row>
    <row r="8" spans="1:13" x14ac:dyDescent="0.2">
      <c r="A8" t="s">
        <v>55</v>
      </c>
      <c r="B8" t="s">
        <v>17</v>
      </c>
      <c r="C8" t="s">
        <v>63</v>
      </c>
      <c r="D8" t="s">
        <v>64</v>
      </c>
      <c r="E8" s="1">
        <v>46046.479166666664</v>
      </c>
      <c r="F8" s="1">
        <v>46047.695833333331</v>
      </c>
      <c r="G8" t="s">
        <v>56</v>
      </c>
      <c r="H8">
        <v>0</v>
      </c>
      <c r="I8">
        <v>6000</v>
      </c>
      <c r="J8" t="s">
        <v>17</v>
      </c>
      <c r="K8">
        <v>13.18</v>
      </c>
      <c r="L8" t="s">
        <v>57</v>
      </c>
      <c r="M8" t="s">
        <v>17</v>
      </c>
    </row>
    <row r="9" spans="1:13" x14ac:dyDescent="0.2">
      <c r="A9">
        <v>7</v>
      </c>
      <c r="B9" t="s">
        <v>63</v>
      </c>
      <c r="C9" t="s">
        <v>65</v>
      </c>
      <c r="D9" t="s">
        <v>64</v>
      </c>
      <c r="E9" s="1">
        <v>46047.695833333331</v>
      </c>
      <c r="F9" s="1">
        <v>46048.633333333331</v>
      </c>
      <c r="G9" t="s">
        <v>53</v>
      </c>
      <c r="H9">
        <v>254</v>
      </c>
      <c r="I9">
        <v>6000</v>
      </c>
      <c r="J9" t="s">
        <v>17</v>
      </c>
      <c r="K9">
        <v>48.54</v>
      </c>
      <c r="L9" t="s">
        <v>54</v>
      </c>
      <c r="M9">
        <v>9.7799999999999994</v>
      </c>
    </row>
    <row r="10" spans="1:13" x14ac:dyDescent="0.2">
      <c r="A10" t="s">
        <v>55</v>
      </c>
      <c r="B10" t="s">
        <v>17</v>
      </c>
      <c r="C10" t="s">
        <v>65</v>
      </c>
      <c r="D10" t="s">
        <v>64</v>
      </c>
      <c r="E10" s="1">
        <v>46048.633333333331</v>
      </c>
      <c r="F10" s="1">
        <v>46049.966666666667</v>
      </c>
      <c r="G10" t="s">
        <v>56</v>
      </c>
      <c r="H10">
        <v>10</v>
      </c>
      <c r="I10">
        <v>0</v>
      </c>
      <c r="J10" t="s">
        <v>17</v>
      </c>
      <c r="K10">
        <v>18.07</v>
      </c>
      <c r="L10" t="s">
        <v>62</v>
      </c>
      <c r="M10">
        <v>89.71</v>
      </c>
    </row>
    <row r="11" spans="1:13" x14ac:dyDescent="0.2">
      <c r="A11">
        <v>9</v>
      </c>
      <c r="B11" t="s">
        <v>65</v>
      </c>
      <c r="C11" t="s">
        <v>50</v>
      </c>
      <c r="D11" t="s">
        <v>66</v>
      </c>
      <c r="E11" s="1">
        <v>46049.966666666667</v>
      </c>
      <c r="F11" s="1">
        <v>46050.037499999999</v>
      </c>
      <c r="G11" t="s">
        <v>53</v>
      </c>
      <c r="H11">
        <v>7</v>
      </c>
      <c r="I11">
        <v>0</v>
      </c>
      <c r="J11" t="s">
        <v>17</v>
      </c>
      <c r="K11">
        <v>3.95</v>
      </c>
      <c r="L11" t="s">
        <v>62</v>
      </c>
      <c r="M11">
        <v>27.64</v>
      </c>
    </row>
    <row r="12" spans="1:13" x14ac:dyDescent="0.2">
      <c r="A12" t="s">
        <v>55</v>
      </c>
      <c r="B12" t="s">
        <v>17</v>
      </c>
      <c r="C12" t="s">
        <v>50</v>
      </c>
      <c r="D12" t="s">
        <v>66</v>
      </c>
      <c r="E12" s="1">
        <v>46050.037499999999</v>
      </c>
      <c r="F12" s="1">
        <v>46050.892361111109</v>
      </c>
      <c r="G12" t="s">
        <v>67</v>
      </c>
      <c r="H12">
        <v>0</v>
      </c>
      <c r="I12">
        <v>0</v>
      </c>
      <c r="J12" t="s">
        <v>17</v>
      </c>
      <c r="K12">
        <v>8.89</v>
      </c>
      <c r="L12" t="s">
        <v>57</v>
      </c>
      <c r="M12" t="s">
        <v>17</v>
      </c>
    </row>
    <row r="13" spans="1:13" x14ac:dyDescent="0.2">
      <c r="A13">
        <v>11</v>
      </c>
      <c r="B13" t="s">
        <v>65</v>
      </c>
      <c r="C13" t="s">
        <v>65</v>
      </c>
      <c r="D13" t="s">
        <v>66</v>
      </c>
      <c r="E13" s="1">
        <v>46050.892361111109</v>
      </c>
      <c r="F13" s="1">
        <v>46051.216666666667</v>
      </c>
      <c r="G13" t="s">
        <v>60</v>
      </c>
      <c r="H13">
        <v>15</v>
      </c>
      <c r="I13">
        <v>0</v>
      </c>
      <c r="J13" t="s">
        <v>17</v>
      </c>
      <c r="K13">
        <v>8.2200000000000006</v>
      </c>
      <c r="L13" t="s">
        <v>62</v>
      </c>
      <c r="M13">
        <v>28.98</v>
      </c>
    </row>
    <row r="14" spans="1:13" x14ac:dyDescent="0.2">
      <c r="A14" t="s">
        <v>55</v>
      </c>
      <c r="B14" t="s">
        <v>17</v>
      </c>
      <c r="C14" t="s">
        <v>65</v>
      </c>
      <c r="D14" t="s">
        <v>66</v>
      </c>
      <c r="E14" s="1">
        <v>46051.216666666667</v>
      </c>
      <c r="F14" s="1">
        <v>46052.104166666664</v>
      </c>
      <c r="G14" t="s">
        <v>67</v>
      </c>
      <c r="H14">
        <v>0</v>
      </c>
      <c r="I14">
        <v>18600</v>
      </c>
      <c r="J14" t="s">
        <v>17</v>
      </c>
      <c r="K14">
        <v>9.68</v>
      </c>
      <c r="L14" t="s">
        <v>57</v>
      </c>
      <c r="M14" t="s">
        <v>17</v>
      </c>
    </row>
    <row r="15" spans="1:13" x14ac:dyDescent="0.2">
      <c r="A15">
        <v>13</v>
      </c>
      <c r="B15" t="s">
        <v>65</v>
      </c>
      <c r="C15" t="s">
        <v>50</v>
      </c>
      <c r="D15" t="s">
        <v>68</v>
      </c>
      <c r="E15" s="1">
        <v>46052.104166666664</v>
      </c>
      <c r="F15" s="1">
        <v>46063.195833333331</v>
      </c>
      <c r="G15" t="s">
        <v>53</v>
      </c>
      <c r="H15">
        <v>2110</v>
      </c>
      <c r="I15">
        <v>18600</v>
      </c>
      <c r="J15" t="s">
        <v>17</v>
      </c>
      <c r="K15">
        <v>441.33</v>
      </c>
      <c r="L15" t="s">
        <v>19</v>
      </c>
      <c r="M15">
        <v>10.7</v>
      </c>
    </row>
    <row r="16" spans="1:13" x14ac:dyDescent="0.2">
      <c r="A16" t="s">
        <v>55</v>
      </c>
      <c r="B16" t="s">
        <v>17</v>
      </c>
      <c r="C16" t="s">
        <v>50</v>
      </c>
      <c r="D16" t="s">
        <v>68</v>
      </c>
      <c r="E16" s="1">
        <v>46063.195833333331</v>
      </c>
      <c r="F16" s="1">
        <v>46063.616666666669</v>
      </c>
      <c r="G16" t="s">
        <v>56</v>
      </c>
      <c r="H16">
        <v>0</v>
      </c>
      <c r="I16">
        <v>0</v>
      </c>
      <c r="J16" t="s">
        <v>17</v>
      </c>
      <c r="K16">
        <v>3.97</v>
      </c>
      <c r="L16" t="s">
        <v>57</v>
      </c>
      <c r="M16" t="s">
        <v>17</v>
      </c>
    </row>
    <row r="17" spans="1:13" x14ac:dyDescent="0.2">
      <c r="A17">
        <v>15</v>
      </c>
      <c r="B17" t="s">
        <v>50</v>
      </c>
      <c r="C17" t="s">
        <v>50</v>
      </c>
      <c r="D17" t="s">
        <v>69</v>
      </c>
      <c r="E17" s="1">
        <v>46063.616666666669</v>
      </c>
      <c r="F17" s="1">
        <v>46067.4</v>
      </c>
      <c r="G17" t="s">
        <v>60</v>
      </c>
      <c r="H17">
        <v>109</v>
      </c>
      <c r="I17">
        <v>0</v>
      </c>
      <c r="J17" t="s">
        <v>17</v>
      </c>
      <c r="K17">
        <v>46.05</v>
      </c>
      <c r="L17" t="s">
        <v>62</v>
      </c>
      <c r="M17">
        <v>21.6</v>
      </c>
    </row>
    <row r="18" spans="1:13" x14ac:dyDescent="0.2">
      <c r="A18" t="s">
        <v>55</v>
      </c>
      <c r="B18" t="s">
        <v>17</v>
      </c>
      <c r="C18" t="s">
        <v>50</v>
      </c>
      <c r="D18" t="s">
        <v>69</v>
      </c>
      <c r="E18" s="1">
        <v>46067.4</v>
      </c>
      <c r="F18" s="1">
        <v>46069.8125</v>
      </c>
      <c r="G18" t="s">
        <v>56</v>
      </c>
      <c r="H18">
        <v>0</v>
      </c>
      <c r="I18">
        <v>12536</v>
      </c>
      <c r="J18" t="s">
        <v>17</v>
      </c>
      <c r="K18">
        <v>26.36</v>
      </c>
      <c r="L18" t="s">
        <v>57</v>
      </c>
      <c r="M18" t="s">
        <v>17</v>
      </c>
    </row>
    <row r="19" spans="1:13" x14ac:dyDescent="0.2">
      <c r="A19">
        <v>17</v>
      </c>
      <c r="B19" t="s">
        <v>50</v>
      </c>
      <c r="C19" t="s">
        <v>70</v>
      </c>
      <c r="D19" t="s">
        <v>71</v>
      </c>
      <c r="E19" s="1">
        <v>46069.8125</v>
      </c>
      <c r="F19" s="1">
        <v>46071.887499999997</v>
      </c>
      <c r="G19" t="s">
        <v>53</v>
      </c>
      <c r="H19">
        <v>541</v>
      </c>
      <c r="I19">
        <v>12536</v>
      </c>
      <c r="J19" t="s">
        <v>17</v>
      </c>
      <c r="K19">
        <v>94.56</v>
      </c>
      <c r="L19" t="s">
        <v>61</v>
      </c>
      <c r="M19">
        <v>8.93</v>
      </c>
    </row>
    <row r="20" spans="1:13" x14ac:dyDescent="0.2">
      <c r="A20" t="s">
        <v>55</v>
      </c>
      <c r="B20" t="s">
        <v>17</v>
      </c>
      <c r="C20" t="s">
        <v>70</v>
      </c>
      <c r="D20" t="s">
        <v>71</v>
      </c>
      <c r="E20" s="1">
        <v>46071.887499999997</v>
      </c>
      <c r="F20" s="1">
        <v>46072.57916666667</v>
      </c>
      <c r="G20" t="s">
        <v>56</v>
      </c>
      <c r="H20">
        <v>0</v>
      </c>
      <c r="I20">
        <v>10165</v>
      </c>
      <c r="J20" t="s">
        <v>17</v>
      </c>
      <c r="K20">
        <v>8.25</v>
      </c>
      <c r="L20" t="s">
        <v>57</v>
      </c>
      <c r="M20" t="s">
        <v>17</v>
      </c>
    </row>
    <row r="21" spans="1:13" x14ac:dyDescent="0.2">
      <c r="A21">
        <v>19</v>
      </c>
      <c r="B21" t="s">
        <v>70</v>
      </c>
      <c r="C21" t="s">
        <v>51</v>
      </c>
      <c r="D21" t="s">
        <v>71</v>
      </c>
      <c r="E21" s="1">
        <v>46072.57916666667</v>
      </c>
      <c r="F21" s="1">
        <v>46076.98333333333</v>
      </c>
      <c r="G21" t="s">
        <v>53</v>
      </c>
      <c r="H21">
        <v>1155</v>
      </c>
      <c r="I21">
        <v>10165</v>
      </c>
      <c r="J21" t="s">
        <v>17</v>
      </c>
      <c r="K21">
        <v>202.34</v>
      </c>
      <c r="L21" t="s">
        <v>61</v>
      </c>
      <c r="M21">
        <v>8.9600000000000009</v>
      </c>
    </row>
    <row r="22" spans="1:13" x14ac:dyDescent="0.2">
      <c r="A22" t="s">
        <v>55</v>
      </c>
      <c r="B22" t="s">
        <v>17</v>
      </c>
      <c r="C22" t="s">
        <v>51</v>
      </c>
      <c r="D22" t="s">
        <v>71</v>
      </c>
      <c r="E22" s="1">
        <v>46076.98333333333</v>
      </c>
      <c r="F22" s="1">
        <v>46078.324999999997</v>
      </c>
      <c r="G22" t="s">
        <v>56</v>
      </c>
      <c r="H22">
        <v>0</v>
      </c>
      <c r="I22">
        <v>0</v>
      </c>
      <c r="J22" t="s">
        <v>17</v>
      </c>
      <c r="K22">
        <v>14.92</v>
      </c>
      <c r="L22" t="s">
        <v>57</v>
      </c>
      <c r="M22" t="s">
        <v>17</v>
      </c>
    </row>
    <row r="23" spans="1:13" x14ac:dyDescent="0.2">
      <c r="A23">
        <v>21</v>
      </c>
      <c r="B23" t="s">
        <v>51</v>
      </c>
      <c r="C23" t="s">
        <v>50</v>
      </c>
      <c r="D23" t="s">
        <v>72</v>
      </c>
      <c r="E23" s="1">
        <v>46078.324999999997</v>
      </c>
      <c r="F23" s="1">
        <v>46085.470833333333</v>
      </c>
      <c r="G23" t="s">
        <v>60</v>
      </c>
      <c r="H23">
        <v>1633</v>
      </c>
      <c r="I23">
        <v>0</v>
      </c>
      <c r="J23" t="s">
        <v>17</v>
      </c>
      <c r="K23">
        <v>279.61</v>
      </c>
      <c r="L23" t="s">
        <v>61</v>
      </c>
      <c r="M23">
        <v>8.75</v>
      </c>
    </row>
    <row r="24" spans="1:13" x14ac:dyDescent="0.2">
      <c r="A24" t="s">
        <v>55</v>
      </c>
      <c r="B24" t="s">
        <v>17</v>
      </c>
      <c r="C24" t="s">
        <v>50</v>
      </c>
      <c r="D24" t="s">
        <v>72</v>
      </c>
      <c r="E24" s="1">
        <v>46085.470833333333</v>
      </c>
      <c r="F24" s="1">
        <v>46087.9375</v>
      </c>
      <c r="G24" t="s">
        <v>56</v>
      </c>
      <c r="H24">
        <v>0</v>
      </c>
      <c r="I24">
        <v>9018</v>
      </c>
      <c r="J24" t="s">
        <v>17</v>
      </c>
      <c r="K24">
        <v>26.11</v>
      </c>
      <c r="L24" t="s">
        <v>57</v>
      </c>
      <c r="M24" t="s">
        <v>17</v>
      </c>
    </row>
    <row r="25" spans="1:13" x14ac:dyDescent="0.2">
      <c r="A25">
        <v>23</v>
      </c>
      <c r="B25" t="s">
        <v>50</v>
      </c>
      <c r="C25" t="s">
        <v>73</v>
      </c>
      <c r="D25" t="s">
        <v>74</v>
      </c>
      <c r="E25" s="1">
        <v>46087.9375</v>
      </c>
      <c r="F25" s="1">
        <v>46088.904166666667</v>
      </c>
      <c r="G25" t="s">
        <v>53</v>
      </c>
      <c r="H25">
        <v>142</v>
      </c>
      <c r="I25">
        <v>9018</v>
      </c>
      <c r="J25" t="s">
        <v>17</v>
      </c>
      <c r="K25">
        <v>24.28</v>
      </c>
      <c r="L25" t="s">
        <v>61</v>
      </c>
      <c r="M25">
        <v>8.7200000000000006</v>
      </c>
    </row>
    <row r="26" spans="1:13" x14ac:dyDescent="0.2">
      <c r="A26" t="s">
        <v>55</v>
      </c>
      <c r="B26" t="s">
        <v>17</v>
      </c>
      <c r="C26" t="s">
        <v>73</v>
      </c>
      <c r="D26" t="s">
        <v>74</v>
      </c>
      <c r="E26" s="1">
        <v>46088.904166666667</v>
      </c>
      <c r="F26" s="1">
        <v>46090.098611111112</v>
      </c>
      <c r="G26" t="s">
        <v>56</v>
      </c>
      <c r="H26">
        <v>0</v>
      </c>
      <c r="I26">
        <v>0</v>
      </c>
      <c r="J26" t="s">
        <v>17</v>
      </c>
      <c r="K26">
        <v>10.48</v>
      </c>
      <c r="L26" t="s">
        <v>57</v>
      </c>
      <c r="M26" t="s">
        <v>17</v>
      </c>
    </row>
    <row r="27" spans="1:13" x14ac:dyDescent="0.2">
      <c r="A27">
        <v>25</v>
      </c>
      <c r="B27" t="s">
        <v>73</v>
      </c>
      <c r="C27" t="s">
        <v>50</v>
      </c>
      <c r="D27" t="s">
        <v>75</v>
      </c>
      <c r="E27" s="1">
        <v>46090.098611111112</v>
      </c>
      <c r="F27" s="1">
        <v>46090.89166666667</v>
      </c>
      <c r="G27" t="s">
        <v>60</v>
      </c>
      <c r="H27">
        <v>156</v>
      </c>
      <c r="I27">
        <v>0</v>
      </c>
      <c r="J27" t="s">
        <v>17</v>
      </c>
      <c r="K27">
        <v>25.21</v>
      </c>
      <c r="L27" t="s">
        <v>61</v>
      </c>
      <c r="M27">
        <v>8.26</v>
      </c>
    </row>
    <row r="28" spans="1:13" x14ac:dyDescent="0.2">
      <c r="A28" t="s">
        <v>55</v>
      </c>
      <c r="B28" t="s">
        <v>17</v>
      </c>
      <c r="C28" t="s">
        <v>50</v>
      </c>
      <c r="D28" t="s">
        <v>75</v>
      </c>
      <c r="E28" s="1">
        <v>46090.89166666667</v>
      </c>
      <c r="F28" s="1">
        <v>46093.104166666664</v>
      </c>
      <c r="G28" t="s">
        <v>56</v>
      </c>
      <c r="H28">
        <v>0</v>
      </c>
      <c r="I28">
        <v>11928</v>
      </c>
      <c r="J28" t="s">
        <v>17</v>
      </c>
      <c r="K28">
        <v>24.42</v>
      </c>
      <c r="L28" t="s">
        <v>57</v>
      </c>
      <c r="M28" t="s">
        <v>17</v>
      </c>
    </row>
    <row r="29" spans="1:13" x14ac:dyDescent="0.2">
      <c r="A29">
        <v>27</v>
      </c>
      <c r="B29" t="s">
        <v>50</v>
      </c>
      <c r="C29" t="s">
        <v>70</v>
      </c>
      <c r="D29" t="s">
        <v>76</v>
      </c>
      <c r="E29" s="1">
        <v>46093.104166666664</v>
      </c>
      <c r="F29" s="1">
        <v>46095.237500000003</v>
      </c>
      <c r="G29" t="s">
        <v>53</v>
      </c>
      <c r="H29">
        <v>539</v>
      </c>
      <c r="I29">
        <v>11928</v>
      </c>
      <c r="J29" t="s">
        <v>17</v>
      </c>
      <c r="K29">
        <v>94.07</v>
      </c>
      <c r="L29" t="s">
        <v>61</v>
      </c>
      <c r="M29">
        <v>8.92</v>
      </c>
    </row>
    <row r="30" spans="1:13" x14ac:dyDescent="0.2">
      <c r="A30" t="s">
        <v>55</v>
      </c>
      <c r="B30" t="s">
        <v>17</v>
      </c>
      <c r="C30" t="s">
        <v>70</v>
      </c>
      <c r="D30" t="s">
        <v>76</v>
      </c>
      <c r="E30" s="1">
        <v>46095.237500000003</v>
      </c>
      <c r="F30" s="1">
        <v>46101.416666666664</v>
      </c>
      <c r="G30" t="s">
        <v>56</v>
      </c>
      <c r="H30">
        <v>1146</v>
      </c>
      <c r="I30">
        <v>9422</v>
      </c>
      <c r="J30" t="s">
        <v>17</v>
      </c>
      <c r="K30">
        <v>210.04</v>
      </c>
      <c r="L30" t="s">
        <v>54</v>
      </c>
      <c r="M30">
        <v>9.3699999999999992</v>
      </c>
    </row>
    <row r="31" spans="1:13" x14ac:dyDescent="0.2">
      <c r="A31">
        <v>29</v>
      </c>
      <c r="B31" t="s">
        <v>51</v>
      </c>
      <c r="C31" t="s">
        <v>50</v>
      </c>
      <c r="D31" t="s">
        <v>77</v>
      </c>
      <c r="E31" s="1">
        <v>46101.416666666664</v>
      </c>
      <c r="F31" s="1">
        <v>46109.841666666667</v>
      </c>
      <c r="G31" t="s">
        <v>60</v>
      </c>
      <c r="H31">
        <v>1677</v>
      </c>
      <c r="I31">
        <v>0</v>
      </c>
      <c r="J31" t="s">
        <v>17</v>
      </c>
      <c r="K31">
        <v>307.16000000000003</v>
      </c>
      <c r="L31" t="s">
        <v>54</v>
      </c>
      <c r="M31">
        <v>9.36</v>
      </c>
    </row>
    <row r="32" spans="1:13" x14ac:dyDescent="0.2">
      <c r="A32" t="s">
        <v>55</v>
      </c>
      <c r="B32" t="s">
        <v>17</v>
      </c>
      <c r="C32" t="s">
        <v>50</v>
      </c>
      <c r="D32" t="s">
        <v>77</v>
      </c>
      <c r="E32" s="1">
        <v>46109.841666666667</v>
      </c>
      <c r="F32" s="1">
        <v>46113.354166666664</v>
      </c>
      <c r="G32" t="s">
        <v>56</v>
      </c>
      <c r="H32">
        <v>0</v>
      </c>
      <c r="I32">
        <v>14000</v>
      </c>
      <c r="J32" t="s">
        <v>17</v>
      </c>
      <c r="K32">
        <v>38.130000000000003</v>
      </c>
      <c r="L32" t="s">
        <v>57</v>
      </c>
      <c r="M32" t="s">
        <v>17</v>
      </c>
    </row>
    <row r="33" spans="1:13" x14ac:dyDescent="0.2">
      <c r="A33">
        <v>31</v>
      </c>
      <c r="B33" t="s">
        <v>50</v>
      </c>
      <c r="C33" t="s">
        <v>73</v>
      </c>
      <c r="D33" t="s">
        <v>78</v>
      </c>
      <c r="E33" s="1">
        <v>46113.354166666664</v>
      </c>
      <c r="F33" s="1">
        <v>46120.908333333333</v>
      </c>
      <c r="G33" t="s">
        <v>53</v>
      </c>
      <c r="H33">
        <v>194</v>
      </c>
      <c r="I33">
        <v>14000</v>
      </c>
      <c r="J33" t="s">
        <v>17</v>
      </c>
      <c r="K33">
        <v>95.04</v>
      </c>
      <c r="L33" t="s">
        <v>62</v>
      </c>
      <c r="M33">
        <v>25.02</v>
      </c>
    </row>
    <row r="34" spans="1:13" x14ac:dyDescent="0.2">
      <c r="A34" t="s">
        <v>55</v>
      </c>
      <c r="B34" t="s">
        <v>17</v>
      </c>
      <c r="C34" t="s">
        <v>73</v>
      </c>
      <c r="D34" t="s">
        <v>78</v>
      </c>
      <c r="E34" s="1">
        <v>46120.908333333333</v>
      </c>
      <c r="F34" s="1">
        <v>46121.320833333331</v>
      </c>
      <c r="G34" t="s">
        <v>56</v>
      </c>
      <c r="H34">
        <v>0</v>
      </c>
      <c r="I34">
        <v>11307</v>
      </c>
      <c r="J34" t="s">
        <v>17</v>
      </c>
      <c r="K34">
        <v>4.09</v>
      </c>
      <c r="L34" t="s">
        <v>57</v>
      </c>
      <c r="M34" t="s">
        <v>17</v>
      </c>
    </row>
    <row r="35" spans="1:13" x14ac:dyDescent="0.2">
      <c r="A35">
        <v>33</v>
      </c>
      <c r="B35" t="s">
        <v>73</v>
      </c>
      <c r="C35" t="s">
        <v>70</v>
      </c>
      <c r="D35" t="s">
        <v>79</v>
      </c>
      <c r="E35" s="1">
        <v>46121.320833333331</v>
      </c>
      <c r="F35" s="1">
        <v>46123.008333333331</v>
      </c>
      <c r="G35" t="s">
        <v>53</v>
      </c>
      <c r="H35">
        <v>429</v>
      </c>
      <c r="I35">
        <v>11307</v>
      </c>
      <c r="J35" t="s">
        <v>17</v>
      </c>
      <c r="K35">
        <v>83.91</v>
      </c>
      <c r="L35" t="s">
        <v>54</v>
      </c>
      <c r="M35">
        <v>10.01</v>
      </c>
    </row>
    <row r="36" spans="1:13" x14ac:dyDescent="0.2">
      <c r="A36" t="s">
        <v>55</v>
      </c>
      <c r="B36" t="s">
        <v>17</v>
      </c>
      <c r="C36" t="s">
        <v>70</v>
      </c>
      <c r="D36" t="s">
        <v>79</v>
      </c>
      <c r="E36" s="1">
        <v>46123.008333333331</v>
      </c>
      <c r="F36" s="1">
        <v>46123.73333333333</v>
      </c>
      <c r="G36" t="s">
        <v>56</v>
      </c>
      <c r="H36">
        <v>0</v>
      </c>
      <c r="I36">
        <v>9320</v>
      </c>
      <c r="J36" t="s">
        <v>17</v>
      </c>
      <c r="K36">
        <v>7.82</v>
      </c>
      <c r="L36" t="s">
        <v>57</v>
      </c>
      <c r="M36" t="s">
        <v>17</v>
      </c>
    </row>
    <row r="37" spans="1:13" x14ac:dyDescent="0.2">
      <c r="A37">
        <v>35</v>
      </c>
      <c r="B37" t="s">
        <v>70</v>
      </c>
      <c r="C37" t="s">
        <v>51</v>
      </c>
      <c r="D37" t="s">
        <v>79</v>
      </c>
      <c r="E37" s="1">
        <v>46123.73333333333</v>
      </c>
      <c r="F37" s="1">
        <v>46128.074999999997</v>
      </c>
      <c r="G37" t="s">
        <v>53</v>
      </c>
      <c r="H37">
        <v>1156</v>
      </c>
      <c r="I37">
        <v>9320</v>
      </c>
      <c r="J37" t="s">
        <v>17</v>
      </c>
      <c r="K37">
        <v>205.86</v>
      </c>
      <c r="L37" t="s">
        <v>61</v>
      </c>
      <c r="M37">
        <v>9.1</v>
      </c>
    </row>
    <row r="38" spans="1:13" x14ac:dyDescent="0.2">
      <c r="A38" t="s">
        <v>55</v>
      </c>
      <c r="B38" t="s">
        <v>17</v>
      </c>
      <c r="C38" t="s">
        <v>51</v>
      </c>
      <c r="D38" t="s">
        <v>79</v>
      </c>
      <c r="E38" s="1">
        <v>46128.074999999997</v>
      </c>
      <c r="F38" s="1">
        <v>46129.215277777781</v>
      </c>
      <c r="G38" t="s">
        <v>56</v>
      </c>
      <c r="H38">
        <v>0</v>
      </c>
      <c r="I38">
        <v>0</v>
      </c>
      <c r="J38" t="s">
        <v>17</v>
      </c>
      <c r="K38">
        <v>13.12</v>
      </c>
      <c r="L38" t="s">
        <v>57</v>
      </c>
      <c r="M38" t="s">
        <v>17</v>
      </c>
    </row>
    <row r="39" spans="1:13" x14ac:dyDescent="0.2">
      <c r="A39">
        <v>37</v>
      </c>
      <c r="B39" t="s">
        <v>51</v>
      </c>
      <c r="C39" t="s">
        <v>50</v>
      </c>
      <c r="D39" t="s">
        <v>80</v>
      </c>
      <c r="E39" s="1">
        <v>46129.215277777781</v>
      </c>
      <c r="F39" s="1">
        <v>46136.604166666664</v>
      </c>
      <c r="G39" t="s">
        <v>60</v>
      </c>
      <c r="H39">
        <v>1643</v>
      </c>
      <c r="I39">
        <v>0</v>
      </c>
      <c r="J39" t="s">
        <v>17</v>
      </c>
      <c r="K39">
        <v>305.66000000000003</v>
      </c>
      <c r="L39" t="s">
        <v>54</v>
      </c>
      <c r="M39">
        <v>9.51</v>
      </c>
    </row>
    <row r="40" spans="1:13" x14ac:dyDescent="0.2">
      <c r="A40" t="s">
        <v>55</v>
      </c>
      <c r="B40" t="s">
        <v>17</v>
      </c>
      <c r="C40" t="s">
        <v>50</v>
      </c>
      <c r="D40" t="s">
        <v>80</v>
      </c>
      <c r="E40" s="1">
        <v>46136.604166666664</v>
      </c>
      <c r="F40" s="1">
        <v>46139.20416666667</v>
      </c>
      <c r="G40" t="s">
        <v>56</v>
      </c>
      <c r="H40">
        <v>0</v>
      </c>
      <c r="I40">
        <v>14085</v>
      </c>
      <c r="J40" t="s">
        <v>17</v>
      </c>
      <c r="K40">
        <v>29.33</v>
      </c>
      <c r="L40" t="s">
        <v>57</v>
      </c>
      <c r="M40" t="s">
        <v>17</v>
      </c>
    </row>
    <row r="41" spans="1:13" x14ac:dyDescent="0.2">
      <c r="A41">
        <v>39</v>
      </c>
      <c r="B41" t="s">
        <v>50</v>
      </c>
      <c r="C41" t="s">
        <v>70</v>
      </c>
      <c r="D41" t="s">
        <v>81</v>
      </c>
      <c r="E41" s="1">
        <v>46139.20416666667</v>
      </c>
      <c r="F41" s="1">
        <v>46142.058333333334</v>
      </c>
      <c r="G41" t="s">
        <v>53</v>
      </c>
      <c r="H41">
        <v>543</v>
      </c>
      <c r="I41">
        <v>14085</v>
      </c>
      <c r="J41" t="s">
        <v>17</v>
      </c>
      <c r="K41">
        <v>115.74</v>
      </c>
      <c r="L41" t="s">
        <v>19</v>
      </c>
      <c r="M41">
        <v>10.91</v>
      </c>
    </row>
    <row r="42" spans="1:13" x14ac:dyDescent="0.2">
      <c r="A42" t="s">
        <v>55</v>
      </c>
      <c r="B42" t="s">
        <v>17</v>
      </c>
      <c r="C42" t="s">
        <v>70</v>
      </c>
      <c r="D42" t="s">
        <v>81</v>
      </c>
      <c r="E42" s="1">
        <v>46142.058333333334</v>
      </c>
      <c r="F42" s="1">
        <v>46142.737500000003</v>
      </c>
      <c r="G42" t="s">
        <v>56</v>
      </c>
      <c r="H42">
        <v>0</v>
      </c>
      <c r="I42">
        <v>11853</v>
      </c>
      <c r="J42" t="s">
        <v>17</v>
      </c>
      <c r="K42">
        <v>8.5500000000000007</v>
      </c>
      <c r="L42" t="s">
        <v>57</v>
      </c>
      <c r="M42" t="s">
        <v>17</v>
      </c>
    </row>
    <row r="43" spans="1:13" x14ac:dyDescent="0.2">
      <c r="A43">
        <v>41</v>
      </c>
      <c r="B43" t="s">
        <v>70</v>
      </c>
      <c r="C43" t="s">
        <v>51</v>
      </c>
      <c r="D43" t="s">
        <v>81</v>
      </c>
      <c r="E43" s="1">
        <v>46142.737500000003</v>
      </c>
      <c r="F43" s="1">
        <v>46147.23333333333</v>
      </c>
      <c r="G43" t="s">
        <v>53</v>
      </c>
      <c r="H43">
        <v>1157</v>
      </c>
      <c r="I43">
        <v>11853</v>
      </c>
      <c r="J43" t="s">
        <v>17</v>
      </c>
      <c r="K43">
        <v>214.27</v>
      </c>
      <c r="L43" t="s">
        <v>54</v>
      </c>
      <c r="M43">
        <v>9.4700000000000006</v>
      </c>
    </row>
    <row r="44" spans="1:13" x14ac:dyDescent="0.2">
      <c r="A44" t="s">
        <v>55</v>
      </c>
      <c r="B44" t="s">
        <v>17</v>
      </c>
      <c r="C44" t="s">
        <v>51</v>
      </c>
      <c r="D44" t="s">
        <v>81</v>
      </c>
      <c r="E44" s="1">
        <v>46147.23333333333</v>
      </c>
      <c r="F44" s="1">
        <v>46148.513888888891</v>
      </c>
      <c r="G44" t="s">
        <v>56</v>
      </c>
      <c r="H44">
        <v>0</v>
      </c>
      <c r="I44">
        <v>0</v>
      </c>
      <c r="J44" t="s">
        <v>17</v>
      </c>
      <c r="K44">
        <v>13.42</v>
      </c>
      <c r="L44" t="s">
        <v>57</v>
      </c>
      <c r="M44" t="s">
        <v>17</v>
      </c>
    </row>
    <row r="45" spans="1:13" x14ac:dyDescent="0.2">
      <c r="A45">
        <v>43</v>
      </c>
      <c r="B45" t="s">
        <v>51</v>
      </c>
      <c r="C45" t="s">
        <v>50</v>
      </c>
      <c r="D45" t="s">
        <v>82</v>
      </c>
      <c r="E45" s="1">
        <v>46148.513888888891</v>
      </c>
      <c r="F45" s="1">
        <v>46159.9375</v>
      </c>
      <c r="G45" t="s">
        <v>60</v>
      </c>
      <c r="H45">
        <v>1985</v>
      </c>
      <c r="I45">
        <v>0</v>
      </c>
      <c r="J45" t="s">
        <v>17</v>
      </c>
      <c r="K45">
        <v>373.88</v>
      </c>
      <c r="L45" t="s">
        <v>54</v>
      </c>
      <c r="M45">
        <v>9.6300000000000008</v>
      </c>
    </row>
    <row r="46" spans="1:13" x14ac:dyDescent="0.2">
      <c r="A46" t="s">
        <v>55</v>
      </c>
      <c r="B46" t="s">
        <v>17</v>
      </c>
      <c r="C46" t="s">
        <v>50</v>
      </c>
      <c r="D46" t="s">
        <v>82</v>
      </c>
      <c r="E46" s="1">
        <v>46159.9375</v>
      </c>
      <c r="F46" s="1">
        <v>46162.406944444447</v>
      </c>
      <c r="G46" t="s">
        <v>56</v>
      </c>
      <c r="H46">
        <v>0</v>
      </c>
      <c r="I46">
        <v>14068</v>
      </c>
      <c r="J46" t="s">
        <v>17</v>
      </c>
      <c r="K46">
        <v>20.81</v>
      </c>
      <c r="L46" t="s">
        <v>57</v>
      </c>
      <c r="M46" t="s">
        <v>17</v>
      </c>
    </row>
    <row r="47" spans="1:13" x14ac:dyDescent="0.2">
      <c r="A47">
        <v>45</v>
      </c>
      <c r="B47" t="s">
        <v>50</v>
      </c>
      <c r="C47" t="s">
        <v>51</v>
      </c>
      <c r="D47" t="s">
        <v>83</v>
      </c>
      <c r="E47" s="1">
        <v>46162.406944444447</v>
      </c>
      <c r="F47" s="1">
        <v>46169.270833333336</v>
      </c>
      <c r="G47" t="s">
        <v>53</v>
      </c>
      <c r="H47">
        <v>1682</v>
      </c>
      <c r="I47">
        <v>14068</v>
      </c>
      <c r="J47" t="s">
        <v>17</v>
      </c>
      <c r="K47">
        <v>298.06</v>
      </c>
      <c r="L47" t="s">
        <v>61</v>
      </c>
      <c r="M47">
        <v>9.06</v>
      </c>
    </row>
    <row r="48" spans="1:13" x14ac:dyDescent="0.2">
      <c r="A48" t="s">
        <v>55</v>
      </c>
      <c r="B48" t="s">
        <v>17</v>
      </c>
      <c r="C48" t="s">
        <v>51</v>
      </c>
      <c r="D48" t="s">
        <v>83</v>
      </c>
      <c r="E48" s="1">
        <v>46169.270833333336</v>
      </c>
      <c r="F48" s="1">
        <v>46170.536111111112</v>
      </c>
      <c r="G48" t="s">
        <v>56</v>
      </c>
      <c r="H48">
        <v>0</v>
      </c>
      <c r="I48">
        <v>0</v>
      </c>
      <c r="J48" t="s">
        <v>17</v>
      </c>
      <c r="K48">
        <v>11.29</v>
      </c>
      <c r="L48" t="s">
        <v>57</v>
      </c>
      <c r="M48" t="s">
        <v>17</v>
      </c>
    </row>
    <row r="49" spans="1:13" x14ac:dyDescent="0.2">
      <c r="A49">
        <v>47</v>
      </c>
      <c r="B49" t="s">
        <v>51</v>
      </c>
      <c r="C49" t="s">
        <v>50</v>
      </c>
      <c r="D49" t="s">
        <v>84</v>
      </c>
      <c r="E49" s="1">
        <v>46170.536111111112</v>
      </c>
      <c r="F49" s="1">
        <v>46179.086805555555</v>
      </c>
      <c r="G49" t="s">
        <v>60</v>
      </c>
      <c r="H49">
        <v>1817</v>
      </c>
      <c r="I49">
        <v>0</v>
      </c>
      <c r="J49" t="s">
        <v>17</v>
      </c>
      <c r="K49">
        <v>307.26</v>
      </c>
      <c r="L49" t="s">
        <v>61</v>
      </c>
      <c r="M49">
        <v>8.64</v>
      </c>
    </row>
    <row r="50" spans="1:13" x14ac:dyDescent="0.2">
      <c r="A50" t="s">
        <v>55</v>
      </c>
      <c r="B50" t="s">
        <v>17</v>
      </c>
      <c r="C50" t="s">
        <v>50</v>
      </c>
      <c r="D50" t="s">
        <v>84</v>
      </c>
      <c r="E50" s="1">
        <v>46179.086805555555</v>
      </c>
      <c r="F50" s="1">
        <v>46194.636111111111</v>
      </c>
      <c r="G50" t="s">
        <v>56</v>
      </c>
      <c r="H50">
        <v>0</v>
      </c>
      <c r="I50">
        <v>15265</v>
      </c>
      <c r="J50" t="s">
        <v>17</v>
      </c>
      <c r="K50">
        <v>110.54</v>
      </c>
      <c r="L50" t="s">
        <v>57</v>
      </c>
      <c r="M50" t="s">
        <v>17</v>
      </c>
    </row>
    <row r="51" spans="1:13" x14ac:dyDescent="0.2">
      <c r="A51">
        <v>49</v>
      </c>
      <c r="B51" t="s">
        <v>50</v>
      </c>
      <c r="C51" t="s">
        <v>51</v>
      </c>
      <c r="D51" t="s">
        <v>79</v>
      </c>
      <c r="E51" s="1">
        <v>46194.636111111111</v>
      </c>
      <c r="F51" s="1">
        <v>46201.725694444445</v>
      </c>
      <c r="G51" t="s">
        <v>53</v>
      </c>
      <c r="H51">
        <v>1777</v>
      </c>
      <c r="I51">
        <v>15265</v>
      </c>
      <c r="J51" t="s">
        <v>17</v>
      </c>
      <c r="K51">
        <v>329.59</v>
      </c>
      <c r="L51" t="s">
        <v>54</v>
      </c>
      <c r="M51">
        <v>9.48</v>
      </c>
    </row>
    <row r="52" spans="1:13" x14ac:dyDescent="0.2">
      <c r="A52" t="s">
        <v>55</v>
      </c>
      <c r="B52" t="s">
        <v>17</v>
      </c>
      <c r="C52" t="s">
        <v>51</v>
      </c>
      <c r="D52" t="s">
        <v>79</v>
      </c>
      <c r="E52" s="1">
        <v>46201.725694444445</v>
      </c>
      <c r="F52" s="1">
        <v>46203.172222222223</v>
      </c>
      <c r="G52" t="s">
        <v>56</v>
      </c>
      <c r="H52">
        <v>0</v>
      </c>
      <c r="I52">
        <v>0</v>
      </c>
      <c r="J52" t="s">
        <v>17</v>
      </c>
      <c r="K52">
        <v>14.08</v>
      </c>
      <c r="L52" t="s">
        <v>57</v>
      </c>
      <c r="M52" t="s">
        <v>17</v>
      </c>
    </row>
    <row r="53" spans="1:13" x14ac:dyDescent="0.2">
      <c r="A53">
        <v>51</v>
      </c>
      <c r="B53" t="s">
        <v>51</v>
      </c>
      <c r="C53" t="s">
        <v>50</v>
      </c>
      <c r="D53" t="s">
        <v>85</v>
      </c>
      <c r="E53" s="1">
        <v>46203.172222222223</v>
      </c>
      <c r="F53" s="1">
        <v>46210.945833333331</v>
      </c>
      <c r="G53" t="s">
        <v>60</v>
      </c>
      <c r="H53">
        <v>1655</v>
      </c>
      <c r="I53">
        <v>0</v>
      </c>
      <c r="J53" t="s">
        <v>17</v>
      </c>
      <c r="K53">
        <v>344.46</v>
      </c>
      <c r="L53" t="s">
        <v>19</v>
      </c>
      <c r="M53">
        <v>10.64</v>
      </c>
    </row>
    <row r="54" spans="1:13" x14ac:dyDescent="0.2">
      <c r="A54" t="s">
        <v>55</v>
      </c>
      <c r="B54" t="s">
        <v>17</v>
      </c>
      <c r="C54" t="s">
        <v>50</v>
      </c>
      <c r="D54" t="s">
        <v>85</v>
      </c>
      <c r="E54" s="1">
        <v>46210.945833333331</v>
      </c>
      <c r="F54" s="1">
        <v>46215.702777777777</v>
      </c>
      <c r="G54" t="s">
        <v>56</v>
      </c>
      <c r="H54">
        <v>0</v>
      </c>
      <c r="I54">
        <v>18006</v>
      </c>
      <c r="J54" t="s">
        <v>17</v>
      </c>
      <c r="K54">
        <v>44.84</v>
      </c>
      <c r="L54" t="s">
        <v>57</v>
      </c>
      <c r="M54" t="s">
        <v>17</v>
      </c>
    </row>
    <row r="55" spans="1:13" x14ac:dyDescent="0.2">
      <c r="A55">
        <v>53</v>
      </c>
      <c r="B55" t="s">
        <v>50</v>
      </c>
      <c r="C55" t="s">
        <v>70</v>
      </c>
      <c r="D55" t="s">
        <v>86</v>
      </c>
      <c r="E55" s="1">
        <v>46215.702777777777</v>
      </c>
      <c r="F55" s="1">
        <v>46218.26666666667</v>
      </c>
      <c r="G55" t="s">
        <v>53</v>
      </c>
      <c r="H55">
        <v>550</v>
      </c>
      <c r="I55">
        <v>18006</v>
      </c>
      <c r="J55" t="s">
        <v>17</v>
      </c>
      <c r="K55">
        <v>119.42</v>
      </c>
      <c r="L55" t="s">
        <v>19</v>
      </c>
      <c r="M55">
        <v>11.11</v>
      </c>
    </row>
    <row r="56" spans="1:13" x14ac:dyDescent="0.2">
      <c r="A56" t="s">
        <v>55</v>
      </c>
      <c r="B56" t="s">
        <v>17</v>
      </c>
      <c r="C56" t="s">
        <v>70</v>
      </c>
      <c r="D56" t="s">
        <v>86</v>
      </c>
      <c r="E56" s="1">
        <v>46218.26666666667</v>
      </c>
      <c r="F56" s="1">
        <v>46219.066666666666</v>
      </c>
      <c r="G56" t="s">
        <v>56</v>
      </c>
      <c r="H56">
        <v>0</v>
      </c>
      <c r="I56">
        <v>14410</v>
      </c>
      <c r="J56" t="s">
        <v>17</v>
      </c>
      <c r="K56">
        <v>10.23</v>
      </c>
      <c r="L56" t="s">
        <v>57</v>
      </c>
      <c r="M56" t="s">
        <v>17</v>
      </c>
    </row>
    <row r="57" spans="1:13" x14ac:dyDescent="0.2">
      <c r="A57">
        <v>55</v>
      </c>
      <c r="B57" t="s">
        <v>70</v>
      </c>
      <c r="C57" t="s">
        <v>51</v>
      </c>
      <c r="D57" t="s">
        <v>86</v>
      </c>
      <c r="E57" s="1">
        <v>46219.066666666666</v>
      </c>
      <c r="F57" s="1">
        <v>46223.466666666667</v>
      </c>
      <c r="G57" t="s">
        <v>53</v>
      </c>
      <c r="H57">
        <v>1157</v>
      </c>
      <c r="I57">
        <v>14410</v>
      </c>
      <c r="J57" t="s">
        <v>17</v>
      </c>
      <c r="K57">
        <v>194.73</v>
      </c>
      <c r="L57" t="s">
        <v>61</v>
      </c>
      <c r="M57">
        <v>8.61</v>
      </c>
    </row>
    <row r="58" spans="1:13" x14ac:dyDescent="0.2">
      <c r="A58" t="s">
        <v>55</v>
      </c>
      <c r="B58" t="s">
        <v>17</v>
      </c>
      <c r="C58" t="s">
        <v>51</v>
      </c>
      <c r="D58" t="s">
        <v>86</v>
      </c>
      <c r="E58" s="1">
        <v>46223.466666666667</v>
      </c>
      <c r="F58" s="1">
        <v>46224.848611111112</v>
      </c>
      <c r="G58" t="s">
        <v>56</v>
      </c>
      <c r="H58">
        <v>0</v>
      </c>
      <c r="I58">
        <v>0</v>
      </c>
      <c r="J58" t="s">
        <v>17</v>
      </c>
      <c r="K58">
        <v>14.28</v>
      </c>
      <c r="L58" t="s">
        <v>57</v>
      </c>
      <c r="M58" t="s">
        <v>17</v>
      </c>
    </row>
    <row r="59" spans="1:13" x14ac:dyDescent="0.2">
      <c r="A59">
        <v>57</v>
      </c>
      <c r="B59" t="s">
        <v>51</v>
      </c>
      <c r="C59" t="s">
        <v>50</v>
      </c>
      <c r="D59" t="s">
        <v>87</v>
      </c>
      <c r="E59" s="1">
        <v>46224.848611111112</v>
      </c>
      <c r="F59" s="1">
        <v>46231.875</v>
      </c>
      <c r="G59" t="s">
        <v>60</v>
      </c>
      <c r="H59">
        <v>1656</v>
      </c>
      <c r="I59">
        <v>0</v>
      </c>
      <c r="J59" t="s">
        <v>17</v>
      </c>
      <c r="K59">
        <v>323.93</v>
      </c>
      <c r="L59" t="s">
        <v>54</v>
      </c>
      <c r="M59">
        <v>10</v>
      </c>
    </row>
    <row r="60" spans="1:13" x14ac:dyDescent="0.2">
      <c r="A60" t="s">
        <v>55</v>
      </c>
      <c r="B60" t="s">
        <v>17</v>
      </c>
      <c r="C60" t="s">
        <v>50</v>
      </c>
      <c r="D60" t="s">
        <v>87</v>
      </c>
      <c r="E60" s="1">
        <v>46231.875</v>
      </c>
      <c r="F60" s="1">
        <v>46238.991666666669</v>
      </c>
      <c r="G60" t="s">
        <v>56</v>
      </c>
      <c r="H60">
        <v>0</v>
      </c>
      <c r="I60">
        <v>17809</v>
      </c>
      <c r="J60" t="s">
        <v>17</v>
      </c>
      <c r="K60">
        <v>59.13</v>
      </c>
      <c r="L60" t="s">
        <v>57</v>
      </c>
      <c r="M60" t="s">
        <v>17</v>
      </c>
    </row>
    <row r="61" spans="1:13" x14ac:dyDescent="0.2">
      <c r="A61">
        <v>59</v>
      </c>
      <c r="B61" t="s">
        <v>50</v>
      </c>
      <c r="C61" t="s">
        <v>70</v>
      </c>
      <c r="D61" t="s">
        <v>88</v>
      </c>
      <c r="E61" s="1">
        <v>46238.991666666669</v>
      </c>
      <c r="F61" s="1">
        <v>46241.537499999999</v>
      </c>
      <c r="G61" t="s">
        <v>53</v>
      </c>
      <c r="H61">
        <v>561</v>
      </c>
      <c r="I61">
        <v>17809</v>
      </c>
      <c r="J61" t="s">
        <v>17</v>
      </c>
      <c r="K61">
        <v>125.26</v>
      </c>
      <c r="L61" t="s">
        <v>19</v>
      </c>
      <c r="M61">
        <v>11.42</v>
      </c>
    </row>
    <row r="62" spans="1:13" x14ac:dyDescent="0.2">
      <c r="A62" t="s">
        <v>55</v>
      </c>
      <c r="B62" t="s">
        <v>17</v>
      </c>
      <c r="C62" t="s">
        <v>70</v>
      </c>
      <c r="D62" t="s">
        <v>88</v>
      </c>
      <c r="E62" s="1">
        <v>46241.537499999999</v>
      </c>
      <c r="F62" s="1">
        <v>46242.066666666666</v>
      </c>
      <c r="G62" t="s">
        <v>56</v>
      </c>
      <c r="H62">
        <v>0</v>
      </c>
      <c r="I62">
        <v>13017</v>
      </c>
      <c r="J62" t="s">
        <v>17</v>
      </c>
      <c r="K62">
        <v>5.7</v>
      </c>
      <c r="L62" t="s">
        <v>57</v>
      </c>
      <c r="M62" t="s">
        <v>17</v>
      </c>
    </row>
    <row r="63" spans="1:13" x14ac:dyDescent="0.2">
      <c r="A63">
        <v>61</v>
      </c>
      <c r="B63" t="s">
        <v>70</v>
      </c>
      <c r="C63" t="s">
        <v>51</v>
      </c>
      <c r="D63" t="s">
        <v>88</v>
      </c>
      <c r="E63" s="1">
        <v>46242.066666666666</v>
      </c>
      <c r="F63" s="1">
        <v>46246.554166666669</v>
      </c>
      <c r="G63" t="s">
        <v>53</v>
      </c>
      <c r="H63">
        <v>1156</v>
      </c>
      <c r="I63">
        <v>13017</v>
      </c>
      <c r="J63" t="s">
        <v>17</v>
      </c>
      <c r="K63">
        <v>206.08</v>
      </c>
      <c r="L63" t="s">
        <v>61</v>
      </c>
      <c r="M63">
        <v>9.11</v>
      </c>
    </row>
    <row r="64" spans="1:13" x14ac:dyDescent="0.2">
      <c r="A64" t="s">
        <v>55</v>
      </c>
      <c r="B64" t="s">
        <v>17</v>
      </c>
      <c r="C64" t="s">
        <v>51</v>
      </c>
      <c r="D64" t="s">
        <v>88</v>
      </c>
      <c r="E64" s="1">
        <v>46246.554166666669</v>
      </c>
      <c r="F64" s="1">
        <v>46247.758333333331</v>
      </c>
      <c r="G64" t="s">
        <v>56</v>
      </c>
      <c r="H64">
        <v>0</v>
      </c>
      <c r="I64">
        <v>0</v>
      </c>
      <c r="J64" t="s">
        <v>17</v>
      </c>
      <c r="K64">
        <v>13.14</v>
      </c>
      <c r="L64" t="s">
        <v>57</v>
      </c>
      <c r="M64" t="s">
        <v>17</v>
      </c>
    </row>
    <row r="65" spans="1:13" x14ac:dyDescent="0.2">
      <c r="A65">
        <v>63</v>
      </c>
      <c r="B65" t="s">
        <v>51</v>
      </c>
      <c r="C65" t="s">
        <v>50</v>
      </c>
      <c r="D65" t="s">
        <v>89</v>
      </c>
      <c r="E65" s="1">
        <v>46247.758333333331</v>
      </c>
      <c r="F65" t="s">
        <v>90</v>
      </c>
      <c r="G65" t="s">
        <v>60</v>
      </c>
      <c r="H65">
        <v>247</v>
      </c>
      <c r="I65">
        <v>0</v>
      </c>
      <c r="J65" t="s">
        <v>17</v>
      </c>
      <c r="K65">
        <v>45.54</v>
      </c>
      <c r="L65" t="s">
        <v>54</v>
      </c>
      <c r="M65">
        <v>9.42</v>
      </c>
    </row>
  </sheetData>
  <pageMargins left="0.7" right="0.7" top="0.75" bottom="0.75" header="0.3" footer="0.3"/>
  <ignoredErrors>
    <ignoredError sqref="A1:M6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04"/>
  <sheetViews>
    <sheetView tabSelected="1" zoomScale="115" workbookViewId="0">
      <pane ySplit="1" topLeftCell="A275" activePane="bottomLeft" state="frozen"/>
      <selection pane="bottomLeft" activeCell="K312" sqref="K312"/>
    </sheetView>
  </sheetViews>
  <sheetFormatPr baseColWidth="10" defaultRowHeight="16" x14ac:dyDescent="0.2"/>
  <cols>
    <col min="1" max="2" width="27.1640625" bestFit="1" customWidth="1"/>
    <col min="3" max="3" width="16.5" bestFit="1" customWidth="1"/>
    <col min="4" max="4" width="13.5" bestFit="1" customWidth="1"/>
    <col min="5" max="5" width="12.6640625" bestFit="1" customWidth="1"/>
    <col min="6" max="6" width="19.1640625" bestFit="1" customWidth="1"/>
    <col min="10" max="10" width="16.5" bestFit="1" customWidth="1"/>
    <col min="11" max="11" width="19.1640625" customWidth="1"/>
    <col min="12" max="12" width="25.6640625" bestFit="1" customWidth="1"/>
    <col min="13" max="13" width="14.1640625" bestFit="1" customWidth="1"/>
    <col min="14" max="14" width="18.5" bestFit="1" customWidth="1"/>
  </cols>
  <sheetData>
    <row r="1" spans="1:16" s="2" customFormat="1" x14ac:dyDescent="0.2">
      <c r="A1" s="2" t="s">
        <v>40</v>
      </c>
      <c r="B1" s="2" t="s">
        <v>41</v>
      </c>
      <c r="C1" s="2" t="s">
        <v>43</v>
      </c>
      <c r="D1" s="2" t="s">
        <v>44</v>
      </c>
      <c r="E1" s="2" t="s">
        <v>45</v>
      </c>
      <c r="F1" s="2" t="s">
        <v>17</v>
      </c>
      <c r="G1" s="2" t="s">
        <v>91</v>
      </c>
      <c r="H1" s="2" t="s">
        <v>92</v>
      </c>
      <c r="I1" s="2" t="s">
        <v>93</v>
      </c>
      <c r="J1" s="2" t="s">
        <v>42</v>
      </c>
      <c r="K1" s="2" t="s">
        <v>622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x14ac:dyDescent="0.2">
      <c r="A2" t="str">
        <f>IF($G2="","",INDEX('Passages List'!B$3:B$65,MATCH($G2,'Passages List'!$E$3:$E$65,1)))</f>
        <v>Paradip Port Hbr (INPPT)</v>
      </c>
      <c r="B2" t="str">
        <f>IF($G2="","",INDEX('Passages List'!C$3:C$65,MATCH($G2,'Passages List'!$E$3:$E$65,1)))</f>
        <v>Hazira Port (Surat) Hbr (INHZA)</v>
      </c>
      <c r="C2" s="1">
        <f>IF($G2="","",INDEX('Passages List'!E$3:E$65,MATCH($G2,'Passages List'!$E$3:$E$65,1)))</f>
        <v>46052.104166666664</v>
      </c>
      <c r="D2" s="1">
        <f>IF($G2="","",INDEX('Passages List'!F$3:F$65,MATCH($G2,'Passages List'!$E$3:$E$65,1)))</f>
        <v>46063.195833333331</v>
      </c>
      <c r="E2" t="str">
        <f>IF($G2="","",INDEX('Passages List'!G$3:G$65,MATCH($G2,'Passages List'!$E$3:$E$65,1)))</f>
        <v>Cargo</v>
      </c>
      <c r="F2" t="s">
        <v>99</v>
      </c>
      <c r="G2" s="1">
        <v>46052.1875</v>
      </c>
      <c r="H2" t="s">
        <v>118</v>
      </c>
      <c r="I2" t="s">
        <v>119</v>
      </c>
      <c r="J2" t="s">
        <v>635</v>
      </c>
      <c r="K2" t="s">
        <v>623</v>
      </c>
      <c r="L2" t="s">
        <v>120</v>
      </c>
      <c r="M2">
        <v>16</v>
      </c>
      <c r="N2" t="s">
        <v>17</v>
      </c>
      <c r="O2">
        <v>1.1000000000000001</v>
      </c>
      <c r="P2">
        <v>0.1</v>
      </c>
    </row>
    <row r="3" spans="1:16" x14ac:dyDescent="0.2">
      <c r="A3" t="str">
        <f>IF($G3="","",INDEX('Passages List'!B$3:B$65,MATCH($G3,'Passages List'!$E$3:$E$65,1)))</f>
        <v>Paradip Port Hbr (INPPT)</v>
      </c>
      <c r="B3" t="str">
        <f>IF($G3="","",INDEX('Passages List'!C$3:C$65,MATCH($G3,'Passages List'!$E$3:$E$65,1)))</f>
        <v>Hazira Port (Surat) Hbr (INHZA)</v>
      </c>
      <c r="C3" s="1">
        <f>IF($G3="","",INDEX('Passages List'!E$3:E$65,MATCH($G3,'Passages List'!$E$3:$E$65,1)))</f>
        <v>46052.104166666664</v>
      </c>
      <c r="D3" s="1">
        <f>IF($G3="","",INDEX('Passages List'!F$3:F$65,MATCH($G3,'Passages List'!$E$3:$E$65,1)))</f>
        <v>46063.195833333331</v>
      </c>
      <c r="E3" t="str">
        <f>IF($G3="","",INDEX('Passages List'!G$3:G$65,MATCH($G3,'Passages List'!$E$3:$E$65,1)))</f>
        <v>Cargo</v>
      </c>
      <c r="F3" t="s">
        <v>99</v>
      </c>
      <c r="G3" s="1">
        <v>46052.270833333336</v>
      </c>
      <c r="H3" t="s">
        <v>121</v>
      </c>
      <c r="I3" t="s">
        <v>122</v>
      </c>
      <c r="J3" t="s">
        <v>635</v>
      </c>
      <c r="K3" t="s">
        <v>641</v>
      </c>
      <c r="L3" t="s">
        <v>120</v>
      </c>
      <c r="M3">
        <v>23</v>
      </c>
      <c r="N3" t="s">
        <v>17</v>
      </c>
      <c r="O3">
        <v>1.3</v>
      </c>
      <c r="P3">
        <v>0.1</v>
      </c>
    </row>
    <row r="4" spans="1:16" x14ac:dyDescent="0.2">
      <c r="A4" t="str">
        <f>IF($G4="","",INDEX('Passages List'!B$3:B$65,MATCH($G4,'Passages List'!$E$3:$E$65,1)))</f>
        <v>Paradip Port Hbr (INPPT)</v>
      </c>
      <c r="B4" t="str">
        <f>IF($G4="","",INDEX('Passages List'!C$3:C$65,MATCH($G4,'Passages List'!$E$3:$E$65,1)))</f>
        <v>Hazira Port (Surat) Hbr (INHZA)</v>
      </c>
      <c r="C4" s="1">
        <f>IF($G4="","",INDEX('Passages List'!E$3:E$65,MATCH($G4,'Passages List'!$E$3:$E$65,1)))</f>
        <v>46052.104166666664</v>
      </c>
      <c r="D4" s="1">
        <f>IF($G4="","",INDEX('Passages List'!F$3:F$65,MATCH($G4,'Passages List'!$E$3:$E$65,1)))</f>
        <v>46063.195833333331</v>
      </c>
      <c r="E4" t="str">
        <f>IF($G4="","",INDEX('Passages List'!G$3:G$65,MATCH($G4,'Passages List'!$E$3:$E$65,1)))</f>
        <v>Cargo</v>
      </c>
      <c r="F4" t="s">
        <v>99</v>
      </c>
      <c r="G4" s="1">
        <v>46053.270833333336</v>
      </c>
      <c r="H4" t="s">
        <v>123</v>
      </c>
      <c r="I4" t="s">
        <v>124</v>
      </c>
      <c r="J4" t="s">
        <v>635</v>
      </c>
      <c r="K4" t="s">
        <v>641</v>
      </c>
      <c r="L4" t="s">
        <v>102</v>
      </c>
      <c r="M4">
        <v>264</v>
      </c>
      <c r="N4" t="s">
        <v>17</v>
      </c>
      <c r="O4">
        <v>16.100000000000001</v>
      </c>
      <c r="P4">
        <v>0.2</v>
      </c>
    </row>
    <row r="5" spans="1:16" x14ac:dyDescent="0.2">
      <c r="A5" t="str">
        <f>IF($G5="","",INDEX('Passages List'!B$3:B$65,MATCH($G5,'Passages List'!$E$3:$E$65,1)))</f>
        <v>Paradip Port Hbr (INPPT)</v>
      </c>
      <c r="B5" t="str">
        <f>IF($G5="","",INDEX('Passages List'!C$3:C$65,MATCH($G5,'Passages List'!$E$3:$E$65,1)))</f>
        <v>Hazira Port (Surat) Hbr (INHZA)</v>
      </c>
      <c r="C5" s="1">
        <f>IF($G5="","",INDEX('Passages List'!E$3:E$65,MATCH($G5,'Passages List'!$E$3:$E$65,1)))</f>
        <v>46052.104166666664</v>
      </c>
      <c r="D5" s="1">
        <f>IF($G5="","",INDEX('Passages List'!F$3:F$65,MATCH($G5,'Passages List'!$E$3:$E$65,1)))</f>
        <v>46063.195833333331</v>
      </c>
      <c r="E5" t="str">
        <f>IF($G5="","",INDEX('Passages List'!G$3:G$65,MATCH($G5,'Passages List'!$E$3:$E$65,1)))</f>
        <v>Cargo</v>
      </c>
      <c r="F5" t="s">
        <v>99</v>
      </c>
      <c r="G5" s="1">
        <v>46054.270833333336</v>
      </c>
      <c r="H5" t="s">
        <v>125</v>
      </c>
      <c r="I5" t="s">
        <v>126</v>
      </c>
      <c r="J5" t="s">
        <v>635</v>
      </c>
      <c r="K5" t="s">
        <v>641</v>
      </c>
      <c r="L5" t="s">
        <v>102</v>
      </c>
      <c r="M5">
        <v>244</v>
      </c>
      <c r="N5" t="s">
        <v>17</v>
      </c>
      <c r="O5">
        <v>16.100000000000001</v>
      </c>
      <c r="P5">
        <v>0.2</v>
      </c>
    </row>
    <row r="6" spans="1:16" x14ac:dyDescent="0.2">
      <c r="A6" t="str">
        <f>IF($G6="","",INDEX('Passages List'!B$3:B$65,MATCH($G6,'Passages List'!$E$3:$E$65,1)))</f>
        <v>Paradip Port Hbr (INPPT)</v>
      </c>
      <c r="B6" t="str">
        <f>IF($G6="","",INDEX('Passages List'!C$3:C$65,MATCH($G6,'Passages List'!$E$3:$E$65,1)))</f>
        <v>Hazira Port (Surat) Hbr (INHZA)</v>
      </c>
      <c r="C6" s="1">
        <f>IF($G6="","",INDEX('Passages List'!E$3:E$65,MATCH($G6,'Passages List'!$E$3:$E$65,1)))</f>
        <v>46052.104166666664</v>
      </c>
      <c r="D6" s="1">
        <f>IF($G6="","",INDEX('Passages List'!F$3:F$65,MATCH($G6,'Passages List'!$E$3:$E$65,1)))</f>
        <v>46063.195833333331</v>
      </c>
      <c r="E6" t="str">
        <f>IF($G6="","",INDEX('Passages List'!G$3:G$65,MATCH($G6,'Passages List'!$E$3:$E$65,1)))</f>
        <v>Cargo</v>
      </c>
      <c r="F6" t="s">
        <v>99</v>
      </c>
      <c r="G6" s="1">
        <v>46055.270833333336</v>
      </c>
      <c r="H6" t="s">
        <v>127</v>
      </c>
      <c r="I6" t="s">
        <v>128</v>
      </c>
      <c r="J6" t="s">
        <v>635</v>
      </c>
      <c r="K6" t="s">
        <v>641</v>
      </c>
      <c r="L6" t="s">
        <v>102</v>
      </c>
      <c r="M6">
        <v>251</v>
      </c>
      <c r="N6" t="s">
        <v>17</v>
      </c>
      <c r="O6">
        <v>16.100000000000001</v>
      </c>
      <c r="P6">
        <v>0.2</v>
      </c>
    </row>
    <row r="7" spans="1:16" x14ac:dyDescent="0.2">
      <c r="A7" t="str">
        <f>IF($G7="","",INDEX('Passages List'!B$3:B$65,MATCH($G7,'Passages List'!$E$3:$E$65,1)))</f>
        <v>Paradip Port Hbr (INPPT)</v>
      </c>
      <c r="B7" t="str">
        <f>IF($G7="","",INDEX('Passages List'!C$3:C$65,MATCH($G7,'Passages List'!$E$3:$E$65,1)))</f>
        <v>Hazira Port (Surat) Hbr (INHZA)</v>
      </c>
      <c r="C7" s="1">
        <f>IF($G7="","",INDEX('Passages List'!E$3:E$65,MATCH($G7,'Passages List'!$E$3:$E$65,1)))</f>
        <v>46052.104166666664</v>
      </c>
      <c r="D7" s="1">
        <f>IF($G7="","",INDEX('Passages List'!F$3:F$65,MATCH($G7,'Passages List'!$E$3:$E$65,1)))</f>
        <v>46063.195833333331</v>
      </c>
      <c r="E7" t="str">
        <f>IF($G7="","",INDEX('Passages List'!G$3:G$65,MATCH($G7,'Passages List'!$E$3:$E$65,1)))</f>
        <v>Cargo</v>
      </c>
      <c r="F7" t="s">
        <v>99</v>
      </c>
      <c r="G7" s="1">
        <v>46056.270833333336</v>
      </c>
      <c r="H7" t="s">
        <v>129</v>
      </c>
      <c r="I7" t="s">
        <v>130</v>
      </c>
      <c r="J7" t="s">
        <v>635</v>
      </c>
      <c r="K7" t="s">
        <v>641</v>
      </c>
      <c r="L7" t="s">
        <v>102</v>
      </c>
      <c r="M7">
        <v>271</v>
      </c>
      <c r="N7" t="s">
        <v>17</v>
      </c>
      <c r="O7">
        <v>16.100000000000001</v>
      </c>
      <c r="P7">
        <v>0.2</v>
      </c>
    </row>
    <row r="8" spans="1:16" x14ac:dyDescent="0.2">
      <c r="A8" t="str">
        <f>IF($G8="","",INDEX('Passages List'!B$3:B$65,MATCH($G8,'Passages List'!$E$3:$E$65,1)))</f>
        <v>Paradip Port Hbr (INPPT)</v>
      </c>
      <c r="B8" t="str">
        <f>IF($G8="","",INDEX('Passages List'!C$3:C$65,MATCH($G8,'Passages List'!$E$3:$E$65,1)))</f>
        <v>Hazira Port (Surat) Hbr (INHZA)</v>
      </c>
      <c r="C8" s="1">
        <f>IF($G8="","",INDEX('Passages List'!E$3:E$65,MATCH($G8,'Passages List'!$E$3:$E$65,1)))</f>
        <v>46052.104166666664</v>
      </c>
      <c r="D8" s="1">
        <f>IF($G8="","",INDEX('Passages List'!F$3:F$65,MATCH($G8,'Passages List'!$E$3:$E$65,1)))</f>
        <v>46063.195833333331</v>
      </c>
      <c r="E8" t="str">
        <f>IF($G8="","",INDEX('Passages List'!G$3:G$65,MATCH($G8,'Passages List'!$E$3:$E$65,1)))</f>
        <v>Cargo</v>
      </c>
      <c r="F8" t="s">
        <v>99</v>
      </c>
      <c r="G8" s="1">
        <v>46057.270833333336</v>
      </c>
      <c r="H8" t="s">
        <v>131</v>
      </c>
      <c r="I8" t="s">
        <v>132</v>
      </c>
      <c r="J8" t="s">
        <v>635</v>
      </c>
      <c r="K8" t="s">
        <v>641</v>
      </c>
      <c r="L8" t="s">
        <v>102</v>
      </c>
      <c r="M8">
        <v>248</v>
      </c>
      <c r="N8" t="s">
        <v>17</v>
      </c>
      <c r="O8">
        <v>16.100000000000001</v>
      </c>
      <c r="P8">
        <v>0.2</v>
      </c>
    </row>
    <row r="9" spans="1:16" x14ac:dyDescent="0.2">
      <c r="A9" t="str">
        <f>IF($G9="","",INDEX('Passages List'!B$3:B$65,MATCH($G9,'Passages List'!$E$3:$E$65,1)))</f>
        <v>Paradip Port Hbr (INPPT)</v>
      </c>
      <c r="B9" t="str">
        <f>IF($G9="","",INDEX('Passages List'!C$3:C$65,MATCH($G9,'Passages List'!$E$3:$E$65,1)))</f>
        <v>Hazira Port (Surat) Hbr (INHZA)</v>
      </c>
      <c r="C9" s="1">
        <f>IF($G9="","",INDEX('Passages List'!E$3:E$65,MATCH($G9,'Passages List'!$E$3:$E$65,1)))</f>
        <v>46052.104166666664</v>
      </c>
      <c r="D9" s="1">
        <f>IF($G9="","",INDEX('Passages List'!F$3:F$65,MATCH($G9,'Passages List'!$E$3:$E$65,1)))</f>
        <v>46063.195833333331</v>
      </c>
      <c r="E9" t="str">
        <f>IF($G9="","",INDEX('Passages List'!G$3:G$65,MATCH($G9,'Passages List'!$E$3:$E$65,1)))</f>
        <v>Cargo</v>
      </c>
      <c r="F9" t="s">
        <v>99</v>
      </c>
      <c r="G9" s="1">
        <v>46058.270833333336</v>
      </c>
      <c r="H9" t="s">
        <v>133</v>
      </c>
      <c r="I9" t="s">
        <v>134</v>
      </c>
      <c r="J9" t="s">
        <v>635</v>
      </c>
      <c r="K9" t="s">
        <v>641</v>
      </c>
      <c r="L9" t="s">
        <v>102</v>
      </c>
      <c r="M9">
        <v>277</v>
      </c>
      <c r="N9" t="s">
        <v>17</v>
      </c>
      <c r="O9">
        <v>15.9</v>
      </c>
      <c r="P9">
        <v>0.2</v>
      </c>
    </row>
    <row r="10" spans="1:16" x14ac:dyDescent="0.2">
      <c r="A10" t="str">
        <f>IF($G10="","",INDEX('Passages List'!B$3:B$65,MATCH($G10,'Passages List'!$E$3:$E$65,1)))</f>
        <v>Paradip Port Hbr (INPPT)</v>
      </c>
      <c r="B10" t="str">
        <f>IF($G10="","",INDEX('Passages List'!C$3:C$65,MATCH($G10,'Passages List'!$E$3:$E$65,1)))</f>
        <v>Hazira Port (Surat) Hbr (INHZA)</v>
      </c>
      <c r="C10" s="1">
        <f>IF($G10="","",INDEX('Passages List'!E$3:E$65,MATCH($G10,'Passages List'!$E$3:$E$65,1)))</f>
        <v>46052.104166666664</v>
      </c>
      <c r="D10" s="1">
        <f>IF($G10="","",INDEX('Passages List'!F$3:F$65,MATCH($G10,'Passages List'!$E$3:$E$65,1)))</f>
        <v>46063.195833333331</v>
      </c>
      <c r="E10" t="str">
        <f>IF($G10="","",INDEX('Passages List'!G$3:G$65,MATCH($G10,'Passages List'!$E$3:$E$65,1)))</f>
        <v>Cargo</v>
      </c>
      <c r="F10" t="s">
        <v>99</v>
      </c>
      <c r="G10" s="1">
        <v>46059.270833333336</v>
      </c>
      <c r="H10" t="s">
        <v>135</v>
      </c>
      <c r="I10" t="s">
        <v>136</v>
      </c>
      <c r="J10" t="s">
        <v>635</v>
      </c>
      <c r="K10" t="s">
        <v>641</v>
      </c>
      <c r="L10" t="s">
        <v>102</v>
      </c>
      <c r="M10">
        <v>269</v>
      </c>
      <c r="N10" t="s">
        <v>17</v>
      </c>
      <c r="O10">
        <v>15.9</v>
      </c>
      <c r="P10">
        <v>0.2</v>
      </c>
    </row>
    <row r="11" spans="1:16" x14ac:dyDescent="0.2">
      <c r="A11" t="str">
        <f>IF($G11="","",INDEX('Passages List'!B$3:B$65,MATCH($G11,'Passages List'!$E$3:$E$65,1)))</f>
        <v>Paradip Port Hbr (INPPT)</v>
      </c>
      <c r="B11" t="str">
        <f>IF($G11="","",INDEX('Passages List'!C$3:C$65,MATCH($G11,'Passages List'!$E$3:$E$65,1)))</f>
        <v>Hazira Port (Surat) Hbr (INHZA)</v>
      </c>
      <c r="C11" s="1">
        <f>IF($G11="","",INDEX('Passages List'!E$3:E$65,MATCH($G11,'Passages List'!$E$3:$E$65,1)))</f>
        <v>46052.104166666664</v>
      </c>
      <c r="D11" s="1">
        <f>IF($G11="","",INDEX('Passages List'!F$3:F$65,MATCH($G11,'Passages List'!$E$3:$E$65,1)))</f>
        <v>46063.195833333331</v>
      </c>
      <c r="E11" t="str">
        <f>IF($G11="","",INDEX('Passages List'!G$3:G$65,MATCH($G11,'Passages List'!$E$3:$E$65,1)))</f>
        <v>Cargo</v>
      </c>
      <c r="F11" t="s">
        <v>99</v>
      </c>
      <c r="G11" s="1">
        <v>46060.104166666664</v>
      </c>
      <c r="H11" t="s">
        <v>137</v>
      </c>
      <c r="I11" t="s">
        <v>136</v>
      </c>
      <c r="J11" t="s">
        <v>635</v>
      </c>
      <c r="K11" t="s">
        <v>641</v>
      </c>
      <c r="L11" t="s">
        <v>117</v>
      </c>
      <c r="M11">
        <v>220</v>
      </c>
      <c r="N11" t="s">
        <v>17</v>
      </c>
      <c r="O11">
        <v>13.2</v>
      </c>
      <c r="P11">
        <v>0.2</v>
      </c>
    </row>
    <row r="12" spans="1:16" x14ac:dyDescent="0.2">
      <c r="A12" t="str">
        <f>IF($G12="","",INDEX('Passages List'!B$3:B$65,MATCH($G12,'Passages List'!$E$3:$E$65,1)))</f>
        <v>Paradip Port Hbr (INPPT)</v>
      </c>
      <c r="B12" t="str">
        <f>IF($G12="","",INDEX('Passages List'!C$3:C$65,MATCH($G12,'Passages List'!$E$3:$E$65,1)))</f>
        <v>Hazira Port (Surat) Hbr (INHZA)</v>
      </c>
      <c r="C12" s="1">
        <f>IF($G12="","",INDEX('Passages List'!E$3:E$65,MATCH($G12,'Passages List'!$E$3:$E$65,1)))</f>
        <v>46052.104166666664</v>
      </c>
      <c r="D12" s="1">
        <f>IF($G12="","",INDEX('Passages List'!F$3:F$65,MATCH($G12,'Passages List'!$E$3:$E$65,1)))</f>
        <v>46063.195833333331</v>
      </c>
      <c r="E12" t="str">
        <f>IF($G12="","",INDEX('Passages List'!G$3:G$65,MATCH($G12,'Passages List'!$E$3:$E$65,1)))</f>
        <v>Cargo</v>
      </c>
      <c r="F12" t="s">
        <v>105</v>
      </c>
      <c r="G12" s="1">
        <v>46060.270833333336</v>
      </c>
      <c r="H12" t="s">
        <v>137</v>
      </c>
      <c r="I12" t="s">
        <v>136</v>
      </c>
      <c r="J12" t="s">
        <v>635</v>
      </c>
      <c r="K12" t="s">
        <v>641</v>
      </c>
      <c r="L12" t="s">
        <v>108</v>
      </c>
      <c r="M12">
        <v>9.6999999999999993</v>
      </c>
      <c r="N12" t="s">
        <v>17</v>
      </c>
      <c r="O12">
        <v>0.6</v>
      </c>
      <c r="P12">
        <v>0.3</v>
      </c>
    </row>
    <row r="13" spans="1:16" x14ac:dyDescent="0.2">
      <c r="A13" t="str">
        <f>IF($G13="","",INDEX('Passages List'!B$3:B$65,MATCH($G13,'Passages List'!$E$3:$E$65,1)))</f>
        <v>Paradip Port Hbr (INPPT)</v>
      </c>
      <c r="B13" t="str">
        <f>IF($G13="","",INDEX('Passages List'!C$3:C$65,MATCH($G13,'Passages List'!$E$3:$E$65,1)))</f>
        <v>Hazira Port (Surat) Hbr (INHZA)</v>
      </c>
      <c r="C13" s="1">
        <f>IF($G13="","",INDEX('Passages List'!E$3:E$65,MATCH($G13,'Passages List'!$E$3:$E$65,1)))</f>
        <v>46052.104166666664</v>
      </c>
      <c r="D13" s="1">
        <f>IF($G13="","",INDEX('Passages List'!F$3:F$65,MATCH($G13,'Passages List'!$E$3:$E$65,1)))</f>
        <v>46063.195833333331</v>
      </c>
      <c r="E13" t="str">
        <f>IF($G13="","",INDEX('Passages List'!G$3:G$65,MATCH($G13,'Passages List'!$E$3:$E$65,1)))</f>
        <v>Cargo</v>
      </c>
      <c r="F13" t="s">
        <v>105</v>
      </c>
      <c r="G13" s="1">
        <v>46061.270833333336</v>
      </c>
      <c r="H13" t="s">
        <v>137</v>
      </c>
      <c r="I13" t="s">
        <v>136</v>
      </c>
      <c r="J13" t="s">
        <v>635</v>
      </c>
      <c r="K13" t="s">
        <v>641</v>
      </c>
      <c r="L13" t="s">
        <v>102</v>
      </c>
      <c r="M13">
        <v>2.9</v>
      </c>
      <c r="N13" t="s">
        <v>17</v>
      </c>
      <c r="O13">
        <v>1.8</v>
      </c>
      <c r="P13">
        <v>1.5</v>
      </c>
    </row>
    <row r="14" spans="1:16" x14ac:dyDescent="0.2">
      <c r="A14" t="str">
        <f>IF($G14="","",INDEX('Passages List'!B$3:B$65,MATCH($G14,'Passages List'!$E$3:$E$65,1)))</f>
        <v>Paradip Port Hbr (INPPT)</v>
      </c>
      <c r="B14" t="str">
        <f>IF($G14="","",INDEX('Passages List'!C$3:C$65,MATCH($G14,'Passages List'!$E$3:$E$65,1)))</f>
        <v>Hazira Port (Surat) Hbr (INHZA)</v>
      </c>
      <c r="C14" s="1">
        <f>IF($G14="","",INDEX('Passages List'!E$3:E$65,MATCH($G14,'Passages List'!$E$3:$E$65,1)))</f>
        <v>46052.104166666664</v>
      </c>
      <c r="D14" s="1">
        <f>IF($G14="","",INDEX('Passages List'!F$3:F$65,MATCH($G14,'Passages List'!$E$3:$E$65,1)))</f>
        <v>46063.195833333331</v>
      </c>
      <c r="E14" t="str">
        <f>IF($G14="","",INDEX('Passages List'!G$3:G$65,MATCH($G14,'Passages List'!$E$3:$E$65,1)))</f>
        <v>Cargo</v>
      </c>
      <c r="F14" t="s">
        <v>105</v>
      </c>
      <c r="G14" s="1">
        <v>46062.270833333336</v>
      </c>
      <c r="H14" t="s">
        <v>137</v>
      </c>
      <c r="I14" t="s">
        <v>136</v>
      </c>
      <c r="J14" t="s">
        <v>635</v>
      </c>
      <c r="K14" t="s">
        <v>641</v>
      </c>
      <c r="L14" t="s">
        <v>102</v>
      </c>
      <c r="M14" t="s">
        <v>17</v>
      </c>
      <c r="N14" t="s">
        <v>17</v>
      </c>
      <c r="O14">
        <v>1.6</v>
      </c>
      <c r="P14">
        <v>1.5</v>
      </c>
    </row>
    <row r="15" spans="1:16" x14ac:dyDescent="0.2">
      <c r="A15" t="str">
        <f>IF($G15="","",INDEX('Passages List'!B$3:B$65,MATCH($G15,'Passages List'!$E$3:$E$65,1)))</f>
        <v/>
      </c>
      <c r="B15" t="str">
        <f>IF($G15="","",INDEX('Passages List'!C$3:C$65,MATCH($G15,'Passages List'!$E$3:$E$65,1)))</f>
        <v>Hazira Port (Surat) Hbr (INHZA)</v>
      </c>
      <c r="C15" s="1">
        <f>IF($G15="","",INDEX('Passages List'!E$3:E$65,MATCH($G15,'Passages List'!$E$3:$E$65,1)))</f>
        <v>46063.195833333331</v>
      </c>
      <c r="D15" s="1">
        <f>IF($G15="","",INDEX('Passages List'!F$3:F$65,MATCH($G15,'Passages List'!$E$3:$E$65,1)))</f>
        <v>46063.616666666669</v>
      </c>
      <c r="E15" t="str">
        <f>IF($G15="","",INDEX('Passages List'!G$3:G$65,MATCH($G15,'Passages List'!$E$3:$E$65,1)))</f>
        <v>Cargo operations</v>
      </c>
      <c r="F15" t="s">
        <v>104</v>
      </c>
      <c r="G15" s="1">
        <v>46063.195833333331</v>
      </c>
      <c r="H15" t="s">
        <v>138</v>
      </c>
      <c r="I15" t="s">
        <v>139</v>
      </c>
      <c r="J15" t="s">
        <v>635</v>
      </c>
      <c r="K15" t="s">
        <v>624</v>
      </c>
      <c r="L15" t="s">
        <v>140</v>
      </c>
      <c r="M15">
        <v>14</v>
      </c>
      <c r="N15">
        <v>18600</v>
      </c>
      <c r="O15">
        <v>1.8</v>
      </c>
      <c r="P15">
        <v>1.3</v>
      </c>
    </row>
    <row r="16" spans="1:16" x14ac:dyDescent="0.2">
      <c r="A16" t="str">
        <f>IF($G16="","",INDEX('Passages List'!B$3:B$65,MATCH($G16,'Passages List'!$E$3:$E$65,1)))</f>
        <v/>
      </c>
      <c r="B16" t="str">
        <f>IF($G16="","",INDEX('Passages List'!C$3:C$65,MATCH($G16,'Passages List'!$E$3:$E$65,1)))</f>
        <v>Hazira Port (Surat) Hbr (INHZA)</v>
      </c>
      <c r="C16" s="1">
        <f>IF($G16="","",INDEX('Passages List'!E$3:E$65,MATCH($G16,'Passages List'!$E$3:$E$65,1)))</f>
        <v>46063.195833333331</v>
      </c>
      <c r="D16" s="1">
        <f>IF($G16="","",INDEX('Passages List'!F$3:F$65,MATCH($G16,'Passages List'!$E$3:$E$65,1)))</f>
        <v>46063.616666666669</v>
      </c>
      <c r="E16" t="str">
        <f>IF($G16="","",INDEX('Passages List'!G$3:G$65,MATCH($G16,'Passages List'!$E$3:$E$65,1)))</f>
        <v>Cargo operations</v>
      </c>
      <c r="F16" t="s">
        <v>105</v>
      </c>
      <c r="G16" s="1">
        <v>46063.270833333336</v>
      </c>
      <c r="H16" t="s">
        <v>138</v>
      </c>
      <c r="I16" t="s">
        <v>139</v>
      </c>
      <c r="J16" t="s">
        <v>635</v>
      </c>
      <c r="L16" t="s">
        <v>107</v>
      </c>
      <c r="M16" t="s">
        <v>17</v>
      </c>
      <c r="N16" t="s">
        <v>17</v>
      </c>
      <c r="O16">
        <v>0.1</v>
      </c>
      <c r="P16">
        <v>0.1</v>
      </c>
    </row>
    <row r="17" spans="1:16" x14ac:dyDescent="0.2">
      <c r="A17" t="str">
        <f>IF($G17="","",INDEX('Passages List'!B$3:B$65,MATCH($G17,'Passages List'!$E$3:$E$65,1)))</f>
        <v>Hazira Port (Surat) Hbr (INHZA)</v>
      </c>
      <c r="B17" t="str">
        <f>IF($G17="","",INDEX('Passages List'!C$3:C$65,MATCH($G17,'Passages List'!$E$3:$E$65,1)))</f>
        <v>Hazira Port (Surat) Hbr (INHZA)</v>
      </c>
      <c r="C17" s="1">
        <f>IF($G17="","",INDEX('Passages List'!E$3:E$65,MATCH($G17,'Passages List'!$E$3:$E$65,1)))</f>
        <v>46063.616666666669</v>
      </c>
      <c r="D17" s="1">
        <f>IF($G17="","",INDEX('Passages List'!F$3:F$65,MATCH($G17,'Passages List'!$E$3:$E$65,1)))</f>
        <v>46067.4</v>
      </c>
      <c r="E17" t="str">
        <f>IF($G17="","",INDEX('Passages List'!G$3:G$65,MATCH($G17,'Passages List'!$E$3:$E$65,1)))</f>
        <v>Ballast</v>
      </c>
      <c r="F17" t="s">
        <v>106</v>
      </c>
      <c r="G17" s="1">
        <v>46063.616666666669</v>
      </c>
      <c r="H17" t="s">
        <v>141</v>
      </c>
      <c r="I17" t="s">
        <v>142</v>
      </c>
      <c r="J17" t="s">
        <v>634</v>
      </c>
      <c r="K17" t="s">
        <v>623</v>
      </c>
      <c r="L17" t="s">
        <v>143</v>
      </c>
      <c r="M17" t="s">
        <v>17</v>
      </c>
      <c r="N17" t="s">
        <v>17</v>
      </c>
      <c r="O17">
        <v>0.5</v>
      </c>
      <c r="P17">
        <v>0.6</v>
      </c>
    </row>
    <row r="18" spans="1:16" x14ac:dyDescent="0.2">
      <c r="A18" t="str">
        <f>IF($G18="","",INDEX('Passages List'!B$3:B$65,MATCH($G18,'Passages List'!$E$3:$E$65,1)))</f>
        <v>Hazira Port (Surat) Hbr (INHZA)</v>
      </c>
      <c r="B18" t="str">
        <f>IF($G18="","",INDEX('Passages List'!C$3:C$65,MATCH($G18,'Passages List'!$E$3:$E$65,1)))</f>
        <v>Hazira Port (Surat) Hbr (INHZA)</v>
      </c>
      <c r="C18" s="1">
        <f>IF($G18="","",INDEX('Passages List'!E$3:E$65,MATCH($G18,'Passages List'!$E$3:$E$65,1)))</f>
        <v>46063.616666666669</v>
      </c>
      <c r="D18" s="1">
        <f>IF($G18="","",INDEX('Passages List'!F$3:F$65,MATCH($G18,'Passages List'!$E$3:$E$65,1)))</f>
        <v>46067.4</v>
      </c>
      <c r="E18" t="str">
        <f>IF($G18="","",INDEX('Passages List'!G$3:G$65,MATCH($G18,'Passages List'!$E$3:$E$65,1)))</f>
        <v>Ballast</v>
      </c>
      <c r="F18" t="s">
        <v>99</v>
      </c>
      <c r="G18" s="1">
        <v>46064.270833333336</v>
      </c>
      <c r="H18" t="s">
        <v>141</v>
      </c>
      <c r="I18" t="s">
        <v>142</v>
      </c>
      <c r="J18" t="s">
        <v>634</v>
      </c>
      <c r="K18" t="s">
        <v>641</v>
      </c>
      <c r="L18" t="s">
        <v>144</v>
      </c>
      <c r="M18">
        <v>42</v>
      </c>
      <c r="N18" t="s">
        <v>17</v>
      </c>
      <c r="O18">
        <v>2.7</v>
      </c>
      <c r="P18">
        <v>0.8</v>
      </c>
    </row>
    <row r="19" spans="1:16" x14ac:dyDescent="0.2">
      <c r="A19" t="str">
        <f>IF($G19="","",INDEX('Passages List'!B$3:B$65,MATCH($G19,'Passages List'!$E$3:$E$65,1)))</f>
        <v>Hazira Port (Surat) Hbr (INHZA)</v>
      </c>
      <c r="B19" t="str">
        <f>IF($G19="","",INDEX('Passages List'!C$3:C$65,MATCH($G19,'Passages List'!$E$3:$E$65,1)))</f>
        <v>Hazira Port (Surat) Hbr (INHZA)</v>
      </c>
      <c r="C19" s="1">
        <f>IF($G19="","",INDEX('Passages List'!E$3:E$65,MATCH($G19,'Passages List'!$E$3:$E$65,1)))</f>
        <v>46063.616666666669</v>
      </c>
      <c r="D19" s="1">
        <f>IF($G19="","",INDEX('Passages List'!F$3:F$65,MATCH($G19,'Passages List'!$E$3:$E$65,1)))</f>
        <v>46067.4</v>
      </c>
      <c r="E19" t="str">
        <f>IF($G19="","",INDEX('Passages List'!G$3:G$65,MATCH($G19,'Passages List'!$E$3:$E$65,1)))</f>
        <v>Ballast</v>
      </c>
      <c r="F19" t="s">
        <v>99</v>
      </c>
      <c r="G19" s="1">
        <v>46065.270833333336</v>
      </c>
      <c r="H19" t="s">
        <v>145</v>
      </c>
      <c r="I19" t="s">
        <v>146</v>
      </c>
      <c r="J19" t="s">
        <v>634</v>
      </c>
      <c r="K19" t="s">
        <v>641</v>
      </c>
      <c r="L19" t="s">
        <v>102</v>
      </c>
      <c r="M19" t="s">
        <v>17</v>
      </c>
      <c r="N19" t="s">
        <v>17</v>
      </c>
      <c r="O19">
        <v>1.8</v>
      </c>
      <c r="P19">
        <v>1.4</v>
      </c>
    </row>
    <row r="20" spans="1:16" x14ac:dyDescent="0.2">
      <c r="A20" t="str">
        <f>IF($G20="","",INDEX('Passages List'!B$3:B$65,MATCH($G20,'Passages List'!$E$3:$E$65,1)))</f>
        <v>Hazira Port (Surat) Hbr (INHZA)</v>
      </c>
      <c r="B20" t="str">
        <f>IF($G20="","",INDEX('Passages List'!C$3:C$65,MATCH($G20,'Passages List'!$E$3:$E$65,1)))</f>
        <v>Hazira Port (Surat) Hbr (INHZA)</v>
      </c>
      <c r="C20" s="1">
        <f>IF($G20="","",INDEX('Passages List'!E$3:E$65,MATCH($G20,'Passages List'!$E$3:$E$65,1)))</f>
        <v>46063.616666666669</v>
      </c>
      <c r="D20" s="1">
        <f>IF($G20="","",INDEX('Passages List'!F$3:F$65,MATCH($G20,'Passages List'!$E$3:$E$65,1)))</f>
        <v>46067.4</v>
      </c>
      <c r="E20" t="str">
        <f>IF($G20="","",INDEX('Passages List'!G$3:G$65,MATCH($G20,'Passages List'!$E$3:$E$65,1)))</f>
        <v>Ballast</v>
      </c>
      <c r="F20" t="s">
        <v>105</v>
      </c>
      <c r="G20" s="1">
        <v>46066.270833333336</v>
      </c>
      <c r="H20" t="s">
        <v>147</v>
      </c>
      <c r="I20" t="s">
        <v>148</v>
      </c>
      <c r="J20" t="s">
        <v>634</v>
      </c>
      <c r="K20" t="s">
        <v>641</v>
      </c>
      <c r="L20" t="s">
        <v>102</v>
      </c>
      <c r="M20">
        <v>53</v>
      </c>
      <c r="N20" t="s">
        <v>17</v>
      </c>
      <c r="O20">
        <v>2.5</v>
      </c>
      <c r="P20">
        <v>1.4</v>
      </c>
    </row>
    <row r="21" spans="1:16" x14ac:dyDescent="0.2">
      <c r="A21" t="str">
        <f>IF($G21="","",INDEX('Passages List'!B$3:B$65,MATCH($G21,'Passages List'!$E$3:$E$65,1)))</f>
        <v>Hazira Port (Surat) Hbr (INHZA)</v>
      </c>
      <c r="B21" t="str">
        <f>IF($G21="","",INDEX('Passages List'!C$3:C$65,MATCH($G21,'Passages List'!$E$3:$E$65,1)))</f>
        <v>Hazira Port (Surat) Hbr (INHZA)</v>
      </c>
      <c r="C21" s="1">
        <f>IF($G21="","",INDEX('Passages List'!E$3:E$65,MATCH($G21,'Passages List'!$E$3:$E$65,1)))</f>
        <v>46063.616666666669</v>
      </c>
      <c r="D21" s="1">
        <f>IF($G21="","",INDEX('Passages List'!F$3:F$65,MATCH($G21,'Passages List'!$E$3:$E$65,1)))</f>
        <v>46067.4</v>
      </c>
      <c r="E21" t="str">
        <f>IF($G21="","",INDEX('Passages List'!G$3:G$65,MATCH($G21,'Passages List'!$E$3:$E$65,1)))</f>
        <v>Ballast</v>
      </c>
      <c r="F21" t="s">
        <v>105</v>
      </c>
      <c r="G21" s="1">
        <v>46067.270833333336</v>
      </c>
      <c r="H21" t="s">
        <v>147</v>
      </c>
      <c r="I21" t="s">
        <v>148</v>
      </c>
      <c r="J21" t="s">
        <v>634</v>
      </c>
      <c r="K21" t="s">
        <v>641</v>
      </c>
      <c r="L21" t="s">
        <v>102</v>
      </c>
      <c r="M21" t="s">
        <v>17</v>
      </c>
      <c r="N21" t="s">
        <v>17</v>
      </c>
      <c r="O21">
        <v>1.7</v>
      </c>
      <c r="P21">
        <v>1.5</v>
      </c>
    </row>
    <row r="22" spans="1:16" x14ac:dyDescent="0.2">
      <c r="A22" t="str">
        <f>IF($G22="","",INDEX('Passages List'!B$3:B$65,MATCH($G22,'Passages List'!$E$3:$E$65,1)))</f>
        <v/>
      </c>
      <c r="B22" t="str">
        <f>IF($G22="","",INDEX('Passages List'!C$3:C$65,MATCH($G22,'Passages List'!$E$3:$E$65,1)))</f>
        <v>Hazira Port (Surat) Hbr (INHZA)</v>
      </c>
      <c r="C22" s="1">
        <f>IF($G22="","",INDEX('Passages List'!E$3:E$65,MATCH($G22,'Passages List'!$E$3:$E$65,1)))</f>
        <v>46067.4</v>
      </c>
      <c r="D22" s="1">
        <f>IF($G22="","",INDEX('Passages List'!F$3:F$65,MATCH($G22,'Passages List'!$E$3:$E$65,1)))</f>
        <v>46069.8125</v>
      </c>
      <c r="E22" t="str">
        <f>IF($G22="","",INDEX('Passages List'!G$3:G$65,MATCH($G22,'Passages List'!$E$3:$E$65,1)))</f>
        <v>Cargo operations</v>
      </c>
      <c r="F22" t="s">
        <v>104</v>
      </c>
      <c r="G22" s="1">
        <v>46067.4</v>
      </c>
      <c r="H22" t="s">
        <v>149</v>
      </c>
      <c r="I22" t="s">
        <v>150</v>
      </c>
      <c r="J22" t="s">
        <v>634</v>
      </c>
      <c r="K22" t="s">
        <v>624</v>
      </c>
      <c r="L22" t="s">
        <v>151</v>
      </c>
      <c r="M22">
        <v>14</v>
      </c>
      <c r="N22" t="s">
        <v>17</v>
      </c>
      <c r="O22">
        <v>0.5</v>
      </c>
      <c r="P22">
        <v>0.2</v>
      </c>
    </row>
    <row r="23" spans="1:16" x14ac:dyDescent="0.2">
      <c r="A23" t="str">
        <f>IF($G23="","",INDEX('Passages List'!B$3:B$65,MATCH($G23,'Passages List'!$E$3:$E$65,1)))</f>
        <v/>
      </c>
      <c r="B23" t="str">
        <f>IF($G23="","",INDEX('Passages List'!C$3:C$65,MATCH($G23,'Passages List'!$E$3:$E$65,1)))</f>
        <v>Hazira Port (Surat) Hbr (INHZA)</v>
      </c>
      <c r="C23" s="1">
        <f>IF($G23="","",INDEX('Passages List'!E$3:E$65,MATCH($G23,'Passages List'!$E$3:$E$65,1)))</f>
        <v>46067.4</v>
      </c>
      <c r="D23" s="1">
        <f>IF($G23="","",INDEX('Passages List'!F$3:F$65,MATCH($G23,'Passages List'!$E$3:$E$65,1)))</f>
        <v>46069.8125</v>
      </c>
      <c r="E23" t="str">
        <f>IF($G23="","",INDEX('Passages List'!G$3:G$65,MATCH($G23,'Passages List'!$E$3:$E$65,1)))</f>
        <v>Cargo operations</v>
      </c>
      <c r="F23" t="s">
        <v>105</v>
      </c>
      <c r="G23" s="1">
        <v>46068.270833333336</v>
      </c>
      <c r="H23" t="s">
        <v>149</v>
      </c>
      <c r="I23" t="s">
        <v>150</v>
      </c>
      <c r="J23" t="s">
        <v>634</v>
      </c>
      <c r="L23" t="s">
        <v>152</v>
      </c>
      <c r="M23" t="s">
        <v>17</v>
      </c>
      <c r="N23" t="s">
        <v>17</v>
      </c>
      <c r="O23">
        <v>1.8</v>
      </c>
      <c r="P23">
        <v>1.3</v>
      </c>
    </row>
    <row r="24" spans="1:16" x14ac:dyDescent="0.2">
      <c r="A24" t="str">
        <f>IF($G24="","",INDEX('Passages List'!B$3:B$65,MATCH($G24,'Passages List'!$E$3:$E$65,1)))</f>
        <v/>
      </c>
      <c r="B24" t="str">
        <f>IF($G24="","",INDEX('Passages List'!C$3:C$65,MATCH($G24,'Passages List'!$E$3:$E$65,1)))</f>
        <v>Hazira Port (Surat) Hbr (INHZA)</v>
      </c>
      <c r="C24" s="1">
        <f>IF($G24="","",INDEX('Passages List'!E$3:E$65,MATCH($G24,'Passages List'!$E$3:$E$65,1)))</f>
        <v>46067.4</v>
      </c>
      <c r="D24" s="1">
        <f>IF($G24="","",INDEX('Passages List'!F$3:F$65,MATCH($G24,'Passages List'!$E$3:$E$65,1)))</f>
        <v>46069.8125</v>
      </c>
      <c r="E24" t="str">
        <f>IF($G24="","",INDEX('Passages List'!G$3:G$65,MATCH($G24,'Passages List'!$E$3:$E$65,1)))</f>
        <v>Cargo operations</v>
      </c>
      <c r="F24" t="s">
        <v>105</v>
      </c>
      <c r="G24" s="1">
        <v>46069.270833333336</v>
      </c>
      <c r="H24" t="s">
        <v>149</v>
      </c>
      <c r="I24" t="s">
        <v>150</v>
      </c>
      <c r="J24" t="s">
        <v>634</v>
      </c>
      <c r="L24" t="s">
        <v>102</v>
      </c>
      <c r="M24" t="s">
        <v>17</v>
      </c>
      <c r="N24" t="s">
        <v>17</v>
      </c>
      <c r="O24">
        <v>1.9</v>
      </c>
      <c r="P24">
        <v>1.5</v>
      </c>
    </row>
    <row r="25" spans="1:16" x14ac:dyDescent="0.2">
      <c r="A25" t="str">
        <f>IF($G25="","",INDEX('Passages List'!B$3:B$65,MATCH($G25,'Passages List'!$E$3:$E$65,1)))</f>
        <v>Hazira Port (Surat) Hbr (INHZA)</v>
      </c>
      <c r="B25" t="str">
        <f>IF($G25="","",INDEX('Passages List'!C$3:C$65,MATCH($G25,'Passages List'!$E$3:$E$65,1)))</f>
        <v>New Mangalore (INNML)</v>
      </c>
      <c r="C25" s="1">
        <f>IF($G25="","",INDEX('Passages List'!E$3:E$65,MATCH($G25,'Passages List'!$E$3:$E$65,1)))</f>
        <v>46069.8125</v>
      </c>
      <c r="D25" s="1">
        <f>IF($G25="","",INDEX('Passages List'!F$3:F$65,MATCH($G25,'Passages List'!$E$3:$E$65,1)))</f>
        <v>46071.887499999997</v>
      </c>
      <c r="E25" t="str">
        <f>IF($G25="","",INDEX('Passages List'!G$3:G$65,MATCH($G25,'Passages List'!$E$3:$E$65,1)))</f>
        <v>Cargo</v>
      </c>
      <c r="F25" t="s">
        <v>106</v>
      </c>
      <c r="G25" s="1">
        <v>46069.8125</v>
      </c>
      <c r="H25" t="s">
        <v>149</v>
      </c>
      <c r="I25" t="s">
        <v>153</v>
      </c>
      <c r="J25" t="s">
        <v>633</v>
      </c>
      <c r="L25" t="s">
        <v>114</v>
      </c>
      <c r="M25" t="s">
        <v>17</v>
      </c>
      <c r="N25">
        <v>12535.9</v>
      </c>
      <c r="O25">
        <v>0.9</v>
      </c>
      <c r="P25">
        <v>0.9</v>
      </c>
    </row>
    <row r="26" spans="1:16" x14ac:dyDescent="0.2">
      <c r="A26" t="str">
        <f>IF($G26="","",INDEX('Passages List'!B$3:B$65,MATCH($G26,'Passages List'!$E$3:$E$65,1)))</f>
        <v>Hazira Port (Surat) Hbr (INHZA)</v>
      </c>
      <c r="B26" t="str">
        <f>IF($G26="","",INDEX('Passages List'!C$3:C$65,MATCH($G26,'Passages List'!$E$3:$E$65,1)))</f>
        <v>New Mangalore (INNML)</v>
      </c>
      <c r="C26" s="1">
        <f>IF($G26="","",INDEX('Passages List'!E$3:E$65,MATCH($G26,'Passages List'!$E$3:$E$65,1)))</f>
        <v>46069.8125</v>
      </c>
      <c r="D26" s="1">
        <f>IF($G26="","",INDEX('Passages List'!F$3:F$65,MATCH($G26,'Passages List'!$E$3:$E$65,1)))</f>
        <v>46071.887499999997</v>
      </c>
      <c r="E26" t="str">
        <f>IF($G26="","",INDEX('Passages List'!G$3:G$65,MATCH($G26,'Passages List'!$E$3:$E$65,1)))</f>
        <v>Cargo</v>
      </c>
      <c r="F26" t="s">
        <v>99</v>
      </c>
      <c r="G26" s="1">
        <v>46069.875</v>
      </c>
      <c r="H26" t="s">
        <v>154</v>
      </c>
      <c r="I26" t="s">
        <v>155</v>
      </c>
      <c r="J26" t="s">
        <v>633</v>
      </c>
      <c r="K26" t="s">
        <v>623</v>
      </c>
      <c r="L26" t="s">
        <v>156</v>
      </c>
      <c r="M26">
        <v>11.2</v>
      </c>
      <c r="N26" t="s">
        <v>17</v>
      </c>
      <c r="O26">
        <v>0.7</v>
      </c>
      <c r="P26">
        <v>0.1</v>
      </c>
    </row>
    <row r="27" spans="1:16" x14ac:dyDescent="0.2">
      <c r="A27" t="str">
        <f>IF($G27="","",INDEX('Passages List'!B$3:B$65,MATCH($G27,'Passages List'!$E$3:$E$65,1)))</f>
        <v>Hazira Port (Surat) Hbr (INHZA)</v>
      </c>
      <c r="B27" t="str">
        <f>IF($G27="","",INDEX('Passages List'!C$3:C$65,MATCH($G27,'Passages List'!$E$3:$E$65,1)))</f>
        <v>New Mangalore (INNML)</v>
      </c>
      <c r="C27" s="1">
        <f>IF($G27="","",INDEX('Passages List'!E$3:E$65,MATCH($G27,'Passages List'!$E$3:$E$65,1)))</f>
        <v>46069.8125</v>
      </c>
      <c r="D27" s="1">
        <f>IF($G27="","",INDEX('Passages List'!F$3:F$65,MATCH($G27,'Passages List'!$E$3:$E$65,1)))</f>
        <v>46071.887499999997</v>
      </c>
      <c r="E27" t="str">
        <f>IF($G27="","",INDEX('Passages List'!G$3:G$65,MATCH($G27,'Passages List'!$E$3:$E$65,1)))</f>
        <v>Cargo</v>
      </c>
      <c r="F27" t="s">
        <v>99</v>
      </c>
      <c r="G27" s="1">
        <v>46070.270833333336</v>
      </c>
      <c r="H27" t="s">
        <v>157</v>
      </c>
      <c r="I27" t="s">
        <v>158</v>
      </c>
      <c r="J27" t="s">
        <v>633</v>
      </c>
      <c r="K27" t="s">
        <v>641</v>
      </c>
      <c r="L27" t="s">
        <v>159</v>
      </c>
      <c r="M27">
        <v>112</v>
      </c>
      <c r="N27" t="s">
        <v>17</v>
      </c>
      <c r="O27">
        <v>5.0999999999999996</v>
      </c>
      <c r="P27">
        <v>0.1</v>
      </c>
    </row>
    <row r="28" spans="1:16" x14ac:dyDescent="0.2">
      <c r="A28" t="str">
        <f>IF($G28="","",INDEX('Passages List'!B$3:B$65,MATCH($G28,'Passages List'!$E$3:$E$65,1)))</f>
        <v>Hazira Port (Surat) Hbr (INHZA)</v>
      </c>
      <c r="B28" t="str">
        <f>IF($G28="","",INDEX('Passages List'!C$3:C$65,MATCH($G28,'Passages List'!$E$3:$E$65,1)))</f>
        <v>New Mangalore (INNML)</v>
      </c>
      <c r="C28" s="1">
        <f>IF($G28="","",INDEX('Passages List'!E$3:E$65,MATCH($G28,'Passages List'!$E$3:$E$65,1)))</f>
        <v>46069.8125</v>
      </c>
      <c r="D28" s="1">
        <f>IF($G28="","",INDEX('Passages List'!F$3:F$65,MATCH($G28,'Passages List'!$E$3:$E$65,1)))</f>
        <v>46071.887499999997</v>
      </c>
      <c r="E28" t="str">
        <f>IF($G28="","",INDEX('Passages List'!G$3:G$65,MATCH($G28,'Passages List'!$E$3:$E$65,1)))</f>
        <v>Cargo</v>
      </c>
      <c r="F28" t="s">
        <v>99</v>
      </c>
      <c r="G28" s="1">
        <v>46071.270833333336</v>
      </c>
      <c r="H28" t="s">
        <v>160</v>
      </c>
      <c r="I28" t="s">
        <v>161</v>
      </c>
      <c r="J28" t="s">
        <v>633</v>
      </c>
      <c r="K28" t="s">
        <v>641</v>
      </c>
      <c r="L28" t="s">
        <v>102</v>
      </c>
      <c r="M28">
        <v>266</v>
      </c>
      <c r="N28" t="s">
        <v>17</v>
      </c>
      <c r="O28">
        <v>15.9</v>
      </c>
      <c r="P28">
        <v>0.1</v>
      </c>
    </row>
    <row r="29" spans="1:16" x14ac:dyDescent="0.2">
      <c r="A29" t="str">
        <f>IF($G29="","",INDEX('Passages List'!B$3:B$65,MATCH($G29,'Passages List'!$E$3:$E$65,1)))</f>
        <v>Hazira Port (Surat) Hbr (INHZA)</v>
      </c>
      <c r="B29" t="str">
        <f>IF($G29="","",INDEX('Passages List'!C$3:C$65,MATCH($G29,'Passages List'!$E$3:$E$65,1)))</f>
        <v>New Mangalore (INNML)</v>
      </c>
      <c r="C29" s="1">
        <f>IF($G29="","",INDEX('Passages List'!E$3:E$65,MATCH($G29,'Passages List'!$E$3:$E$65,1)))</f>
        <v>46069.8125</v>
      </c>
      <c r="D29" s="1">
        <f>IF($G29="","",INDEX('Passages List'!F$3:F$65,MATCH($G29,'Passages List'!$E$3:$E$65,1)))</f>
        <v>46071.887499999997</v>
      </c>
      <c r="E29" t="str">
        <f>IF($G29="","",INDEX('Passages List'!G$3:G$65,MATCH($G29,'Passages List'!$E$3:$E$65,1)))</f>
        <v>Cargo</v>
      </c>
      <c r="F29" t="s">
        <v>99</v>
      </c>
      <c r="G29" s="1">
        <v>46071.770833333336</v>
      </c>
      <c r="H29" t="s">
        <v>162</v>
      </c>
      <c r="I29" t="s">
        <v>163</v>
      </c>
      <c r="J29" t="s">
        <v>633</v>
      </c>
      <c r="K29" t="s">
        <v>641</v>
      </c>
      <c r="L29" t="s">
        <v>164</v>
      </c>
      <c r="M29">
        <v>132</v>
      </c>
      <c r="N29" t="s">
        <v>17</v>
      </c>
      <c r="O29">
        <v>7</v>
      </c>
      <c r="P29">
        <v>0.1</v>
      </c>
    </row>
    <row r="30" spans="1:16" x14ac:dyDescent="0.2">
      <c r="A30" t="str">
        <f>IF($G30="","",INDEX('Passages List'!B$3:B$65,MATCH($G30,'Passages List'!$E$3:$E$65,1)))</f>
        <v/>
      </c>
      <c r="B30" t="str">
        <f>IF($G30="","",INDEX('Passages List'!C$3:C$65,MATCH($G30,'Passages List'!$E$3:$E$65,1)))</f>
        <v>New Mangalore (INNML)</v>
      </c>
      <c r="C30" s="1">
        <f>IF($G30="","",INDEX('Passages List'!E$3:E$65,MATCH($G30,'Passages List'!$E$3:$E$65,1)))</f>
        <v>46071.887499999997</v>
      </c>
      <c r="D30" s="1">
        <f>IF($G30="","",INDEX('Passages List'!F$3:F$65,MATCH($G30,'Passages List'!$E$3:$E$65,1)))</f>
        <v>46072.57916666667</v>
      </c>
      <c r="E30" t="str">
        <f>IF($G30="","",INDEX('Passages List'!G$3:G$65,MATCH($G30,'Passages List'!$E$3:$E$65,1)))</f>
        <v>Cargo operations</v>
      </c>
      <c r="F30" t="s">
        <v>104</v>
      </c>
      <c r="G30" s="1">
        <v>46071.887499999997</v>
      </c>
      <c r="H30" t="s">
        <v>165</v>
      </c>
      <c r="I30" t="s">
        <v>166</v>
      </c>
      <c r="J30" t="s">
        <v>633</v>
      </c>
      <c r="K30" t="s">
        <v>624</v>
      </c>
      <c r="L30" t="s">
        <v>167</v>
      </c>
      <c r="M30">
        <v>20</v>
      </c>
      <c r="N30">
        <v>12535.9</v>
      </c>
      <c r="O30">
        <v>0.7</v>
      </c>
      <c r="P30">
        <v>0.2</v>
      </c>
    </row>
    <row r="31" spans="1:16" x14ac:dyDescent="0.2">
      <c r="A31" t="str">
        <f>IF($G31="","",INDEX('Passages List'!B$3:B$65,MATCH($G31,'Passages List'!$E$3:$E$65,1)))</f>
        <v/>
      </c>
      <c r="B31" t="str">
        <f>IF($G31="","",INDEX('Passages List'!C$3:C$65,MATCH($G31,'Passages List'!$E$3:$E$65,1)))</f>
        <v>New Mangalore (INNML)</v>
      </c>
      <c r="C31" s="1">
        <f>IF($G31="","",INDEX('Passages List'!E$3:E$65,MATCH($G31,'Passages List'!$E$3:$E$65,1)))</f>
        <v>46071.887499999997</v>
      </c>
      <c r="D31" s="1">
        <f>IF($G31="","",INDEX('Passages List'!F$3:F$65,MATCH($G31,'Passages List'!$E$3:$E$65,1)))</f>
        <v>46072.57916666667</v>
      </c>
      <c r="E31" t="str">
        <f>IF($G31="","",INDEX('Passages List'!G$3:G$65,MATCH($G31,'Passages List'!$E$3:$E$65,1)))</f>
        <v>Cargo operations</v>
      </c>
      <c r="F31" t="s">
        <v>105</v>
      </c>
      <c r="G31" s="1">
        <v>46072.270833333336</v>
      </c>
      <c r="H31" t="s">
        <v>165</v>
      </c>
      <c r="I31" t="s">
        <v>166</v>
      </c>
      <c r="J31" t="s">
        <v>633</v>
      </c>
      <c r="L31" t="s">
        <v>168</v>
      </c>
      <c r="M31" t="s">
        <v>17</v>
      </c>
      <c r="N31" t="s">
        <v>17</v>
      </c>
      <c r="O31">
        <v>0.8</v>
      </c>
      <c r="P31">
        <v>0.6</v>
      </c>
    </row>
    <row r="32" spans="1:16" x14ac:dyDescent="0.2">
      <c r="A32" t="str">
        <f>IF($G32="","",INDEX('Passages List'!B$3:B$65,MATCH($G32,'Passages List'!$E$3:$E$65,1)))</f>
        <v>New Mangalore (INNML)</v>
      </c>
      <c r="B32" t="str">
        <f>IF($G32="","",INDEX('Passages List'!C$3:C$65,MATCH($G32,'Passages List'!$E$3:$E$65,1)))</f>
        <v>Chennai (ex Madras) (INMAA)</v>
      </c>
      <c r="C32" s="1">
        <f>IF($G32="","",INDEX('Passages List'!E$3:E$65,MATCH($G32,'Passages List'!$E$3:$E$65,1)))</f>
        <v>46072.57916666667</v>
      </c>
      <c r="D32" s="1">
        <f>IF($G32="","",INDEX('Passages List'!F$3:F$65,MATCH($G32,'Passages List'!$E$3:$E$65,1)))</f>
        <v>46076.98333333333</v>
      </c>
      <c r="E32" t="str">
        <f>IF($G32="","",INDEX('Passages List'!G$3:G$65,MATCH($G32,'Passages List'!$E$3:$E$65,1)))</f>
        <v>Cargo</v>
      </c>
      <c r="F32" t="s">
        <v>106</v>
      </c>
      <c r="G32" s="1">
        <v>46072.57916666667</v>
      </c>
      <c r="H32" t="s">
        <v>165</v>
      </c>
      <c r="I32" t="s">
        <v>166</v>
      </c>
      <c r="J32" t="s">
        <v>632</v>
      </c>
      <c r="L32" t="s">
        <v>169</v>
      </c>
      <c r="M32" t="s">
        <v>17</v>
      </c>
      <c r="N32">
        <v>10165.200000000001</v>
      </c>
      <c r="O32">
        <v>0.7</v>
      </c>
      <c r="P32">
        <v>0.5</v>
      </c>
    </row>
    <row r="33" spans="1:16" x14ac:dyDescent="0.2">
      <c r="A33" t="str">
        <f>IF($G33="","",INDEX('Passages List'!B$3:B$65,MATCH($G33,'Passages List'!$E$3:$E$65,1)))</f>
        <v>New Mangalore (INNML)</v>
      </c>
      <c r="B33" t="str">
        <f>IF($G33="","",INDEX('Passages List'!C$3:C$65,MATCH($G33,'Passages List'!$E$3:$E$65,1)))</f>
        <v>Chennai (ex Madras) (INMAA)</v>
      </c>
      <c r="C33" s="1">
        <f>IF($G33="","",INDEX('Passages List'!E$3:E$65,MATCH($G33,'Passages List'!$E$3:$E$65,1)))</f>
        <v>46072.57916666667</v>
      </c>
      <c r="D33" s="1">
        <f>IF($G33="","",INDEX('Passages List'!F$3:F$65,MATCH($G33,'Passages List'!$E$3:$E$65,1)))</f>
        <v>46076.98333333333</v>
      </c>
      <c r="E33" t="str">
        <f>IF($G33="","",INDEX('Passages List'!G$3:G$65,MATCH($G33,'Passages List'!$E$3:$E$65,1)))</f>
        <v>Cargo</v>
      </c>
      <c r="F33" t="s">
        <v>99</v>
      </c>
      <c r="G33" s="1">
        <v>46072.625</v>
      </c>
      <c r="H33" t="s">
        <v>170</v>
      </c>
      <c r="I33" t="s">
        <v>171</v>
      </c>
      <c r="J33" t="s">
        <v>632</v>
      </c>
      <c r="K33" t="s">
        <v>623</v>
      </c>
      <c r="L33" t="s">
        <v>172</v>
      </c>
      <c r="M33">
        <v>7</v>
      </c>
      <c r="N33" t="s">
        <v>17</v>
      </c>
      <c r="O33">
        <v>0.5</v>
      </c>
      <c r="P33">
        <v>0.1</v>
      </c>
    </row>
    <row r="34" spans="1:16" x14ac:dyDescent="0.2">
      <c r="A34" t="str">
        <f>IF($G34="","",INDEX('Passages List'!B$3:B$65,MATCH($G34,'Passages List'!$E$3:$E$65,1)))</f>
        <v>New Mangalore (INNML)</v>
      </c>
      <c r="B34" t="str">
        <f>IF($G34="","",INDEX('Passages List'!C$3:C$65,MATCH($G34,'Passages List'!$E$3:$E$65,1)))</f>
        <v>Chennai (ex Madras) (INMAA)</v>
      </c>
      <c r="C34" s="1">
        <f>IF($G34="","",INDEX('Passages List'!E$3:E$65,MATCH($G34,'Passages List'!$E$3:$E$65,1)))</f>
        <v>46072.57916666667</v>
      </c>
      <c r="D34" s="1">
        <f>IF($G34="","",INDEX('Passages List'!F$3:F$65,MATCH($G34,'Passages List'!$E$3:$E$65,1)))</f>
        <v>46076.98333333333</v>
      </c>
      <c r="E34" t="str">
        <f>IF($G34="","",INDEX('Passages List'!G$3:G$65,MATCH($G34,'Passages List'!$E$3:$E$65,1)))</f>
        <v>Cargo</v>
      </c>
      <c r="F34" t="s">
        <v>99</v>
      </c>
      <c r="G34" s="1">
        <v>46073.270833333336</v>
      </c>
      <c r="H34" t="s">
        <v>173</v>
      </c>
      <c r="I34" t="s">
        <v>174</v>
      </c>
      <c r="J34" t="s">
        <v>632</v>
      </c>
      <c r="K34" t="s">
        <v>641</v>
      </c>
      <c r="L34" t="s">
        <v>175</v>
      </c>
      <c r="M34">
        <v>173</v>
      </c>
      <c r="N34" t="s">
        <v>17</v>
      </c>
      <c r="O34">
        <v>9.6</v>
      </c>
      <c r="P34">
        <v>0.1</v>
      </c>
    </row>
    <row r="35" spans="1:16" x14ac:dyDescent="0.2">
      <c r="A35" t="str">
        <f>IF($G35="","",INDEX('Passages List'!B$3:B$65,MATCH($G35,'Passages List'!$E$3:$E$65,1)))</f>
        <v>New Mangalore (INNML)</v>
      </c>
      <c r="B35" t="str">
        <f>IF($G35="","",INDEX('Passages List'!C$3:C$65,MATCH($G35,'Passages List'!$E$3:$E$65,1)))</f>
        <v>Chennai (ex Madras) (INMAA)</v>
      </c>
      <c r="C35" s="1">
        <f>IF($G35="","",INDEX('Passages List'!E$3:E$65,MATCH($G35,'Passages List'!$E$3:$E$65,1)))</f>
        <v>46072.57916666667</v>
      </c>
      <c r="D35" s="1">
        <f>IF($G35="","",INDEX('Passages List'!F$3:F$65,MATCH($G35,'Passages List'!$E$3:$E$65,1)))</f>
        <v>46076.98333333333</v>
      </c>
      <c r="E35" t="str">
        <f>IF($G35="","",INDEX('Passages List'!G$3:G$65,MATCH($G35,'Passages List'!$E$3:$E$65,1)))</f>
        <v>Cargo</v>
      </c>
      <c r="F35" t="s">
        <v>99</v>
      </c>
      <c r="G35" s="1">
        <v>46074.270833333336</v>
      </c>
      <c r="H35" t="s">
        <v>176</v>
      </c>
      <c r="I35" t="s">
        <v>177</v>
      </c>
      <c r="J35" t="s">
        <v>632</v>
      </c>
      <c r="K35" t="s">
        <v>641</v>
      </c>
      <c r="L35" t="s">
        <v>102</v>
      </c>
      <c r="M35">
        <v>272</v>
      </c>
      <c r="N35" t="s">
        <v>17</v>
      </c>
      <c r="O35">
        <v>14.9</v>
      </c>
      <c r="P35">
        <v>0.1</v>
      </c>
    </row>
    <row r="36" spans="1:16" x14ac:dyDescent="0.2">
      <c r="A36" t="str">
        <f>IF($G36="","",INDEX('Passages List'!B$3:B$65,MATCH($G36,'Passages List'!$E$3:$E$65,1)))</f>
        <v>New Mangalore (INNML)</v>
      </c>
      <c r="B36" t="str">
        <f>IF($G36="","",INDEX('Passages List'!C$3:C$65,MATCH($G36,'Passages List'!$E$3:$E$65,1)))</f>
        <v>Chennai (ex Madras) (INMAA)</v>
      </c>
      <c r="C36" s="1">
        <f>IF($G36="","",INDEX('Passages List'!E$3:E$65,MATCH($G36,'Passages List'!$E$3:$E$65,1)))</f>
        <v>46072.57916666667</v>
      </c>
      <c r="D36" s="1">
        <f>IF($G36="","",INDEX('Passages List'!F$3:F$65,MATCH($G36,'Passages List'!$E$3:$E$65,1)))</f>
        <v>46076.98333333333</v>
      </c>
      <c r="E36" t="str">
        <f>IF($G36="","",INDEX('Passages List'!G$3:G$65,MATCH($G36,'Passages List'!$E$3:$E$65,1)))</f>
        <v>Cargo</v>
      </c>
      <c r="F36" t="s">
        <v>99</v>
      </c>
      <c r="G36" s="1">
        <v>46075.270833333336</v>
      </c>
      <c r="H36" t="s">
        <v>178</v>
      </c>
      <c r="I36" t="s">
        <v>179</v>
      </c>
      <c r="J36" t="s">
        <v>632</v>
      </c>
      <c r="K36" t="s">
        <v>641</v>
      </c>
      <c r="L36" t="s">
        <v>102</v>
      </c>
      <c r="M36">
        <v>265</v>
      </c>
      <c r="N36" t="s">
        <v>17</v>
      </c>
      <c r="O36">
        <v>14.9</v>
      </c>
      <c r="P36">
        <v>0.1</v>
      </c>
    </row>
    <row r="37" spans="1:16" x14ac:dyDescent="0.2">
      <c r="A37" t="str">
        <f>IF($G37="","",INDEX('Passages List'!B$3:B$65,MATCH($G37,'Passages List'!$E$3:$E$65,1)))</f>
        <v>New Mangalore (INNML)</v>
      </c>
      <c r="B37" t="str">
        <f>IF($G37="","",INDEX('Passages List'!C$3:C$65,MATCH($G37,'Passages List'!$E$3:$E$65,1)))</f>
        <v>Chennai (ex Madras) (INMAA)</v>
      </c>
      <c r="C37" s="1">
        <f>IF($G37="","",INDEX('Passages List'!E$3:E$65,MATCH($G37,'Passages List'!$E$3:$E$65,1)))</f>
        <v>46072.57916666667</v>
      </c>
      <c r="D37" s="1">
        <f>IF($G37="","",INDEX('Passages List'!F$3:F$65,MATCH($G37,'Passages List'!$E$3:$E$65,1)))</f>
        <v>46076.98333333333</v>
      </c>
      <c r="E37" t="str">
        <f>IF($G37="","",INDEX('Passages List'!G$3:G$65,MATCH($G37,'Passages List'!$E$3:$E$65,1)))</f>
        <v>Cargo</v>
      </c>
      <c r="F37" t="s">
        <v>99</v>
      </c>
      <c r="G37" s="1">
        <v>46076.270833333336</v>
      </c>
      <c r="H37" t="s">
        <v>180</v>
      </c>
      <c r="I37" t="s">
        <v>181</v>
      </c>
      <c r="J37" t="s">
        <v>632</v>
      </c>
      <c r="K37" t="s">
        <v>641</v>
      </c>
      <c r="L37" t="s">
        <v>102</v>
      </c>
      <c r="M37">
        <v>259</v>
      </c>
      <c r="N37" t="s">
        <v>17</v>
      </c>
      <c r="O37">
        <v>14.9</v>
      </c>
      <c r="P37">
        <v>0.1</v>
      </c>
    </row>
    <row r="38" spans="1:16" x14ac:dyDescent="0.2">
      <c r="A38" t="str">
        <f>IF($G38="","",INDEX('Passages List'!B$3:B$65,MATCH($G38,'Passages List'!$E$3:$E$65,1)))</f>
        <v>New Mangalore (INNML)</v>
      </c>
      <c r="B38" t="str">
        <f>IF($G38="","",INDEX('Passages List'!C$3:C$65,MATCH($G38,'Passages List'!$E$3:$E$65,1)))</f>
        <v>Chennai (ex Madras) (INMAA)</v>
      </c>
      <c r="C38" s="1">
        <f>IF($G38="","",INDEX('Passages List'!E$3:E$65,MATCH($G38,'Passages List'!$E$3:$E$65,1)))</f>
        <v>46072.57916666667</v>
      </c>
      <c r="D38" s="1">
        <f>IF($G38="","",INDEX('Passages List'!F$3:F$65,MATCH($G38,'Passages List'!$E$3:$E$65,1)))</f>
        <v>46076.98333333333</v>
      </c>
      <c r="E38" t="str">
        <f>IF($G38="","",INDEX('Passages List'!G$3:G$65,MATCH($G38,'Passages List'!$E$3:$E$65,1)))</f>
        <v>Cargo</v>
      </c>
      <c r="F38" t="s">
        <v>99</v>
      </c>
      <c r="G38" s="1">
        <v>46076.866666666669</v>
      </c>
      <c r="H38" t="s">
        <v>182</v>
      </c>
      <c r="I38" t="s">
        <v>183</v>
      </c>
      <c r="J38" t="s">
        <v>632</v>
      </c>
      <c r="K38" t="s">
        <v>641</v>
      </c>
      <c r="L38" t="s">
        <v>184</v>
      </c>
      <c r="M38">
        <v>165</v>
      </c>
      <c r="N38" t="s">
        <v>17</v>
      </c>
      <c r="O38">
        <v>7.9</v>
      </c>
      <c r="P38">
        <v>0.1</v>
      </c>
    </row>
    <row r="39" spans="1:16" x14ac:dyDescent="0.2">
      <c r="A39" t="str">
        <f>IF($G39="","",INDEX('Passages List'!B$3:B$65,MATCH($G39,'Passages List'!$E$3:$E$65,1)))</f>
        <v/>
      </c>
      <c r="B39" t="str">
        <f>IF($G39="","",INDEX('Passages List'!C$3:C$65,MATCH($G39,'Passages List'!$E$3:$E$65,1)))</f>
        <v>Chennai (ex Madras) (INMAA)</v>
      </c>
      <c r="C39" s="1">
        <f>IF($G39="","",INDEX('Passages List'!E$3:E$65,MATCH($G39,'Passages List'!$E$3:$E$65,1)))</f>
        <v>46076.98333333333</v>
      </c>
      <c r="D39" s="1">
        <f>IF($G39="","",INDEX('Passages List'!F$3:F$65,MATCH($G39,'Passages List'!$E$3:$E$65,1)))</f>
        <v>46078.324999999997</v>
      </c>
      <c r="E39" t="str">
        <f>IF($G39="","",INDEX('Passages List'!G$3:G$65,MATCH($G39,'Passages List'!$E$3:$E$65,1)))</f>
        <v>Cargo operations</v>
      </c>
      <c r="F39" t="s">
        <v>104</v>
      </c>
      <c r="G39" s="1">
        <v>46076.98333333333</v>
      </c>
      <c r="H39" t="s">
        <v>185</v>
      </c>
      <c r="I39" t="s">
        <v>186</v>
      </c>
      <c r="J39" t="s">
        <v>632</v>
      </c>
      <c r="K39" t="s">
        <v>624</v>
      </c>
      <c r="L39" t="s">
        <v>167</v>
      </c>
      <c r="M39">
        <v>14</v>
      </c>
      <c r="N39">
        <v>10165.200000000001</v>
      </c>
      <c r="O39">
        <v>0.7</v>
      </c>
      <c r="P39">
        <v>0.2</v>
      </c>
    </row>
    <row r="40" spans="1:16" x14ac:dyDescent="0.2">
      <c r="A40" t="str">
        <f>IF($G40="","",INDEX('Passages List'!B$3:B$65,MATCH($G40,'Passages List'!$E$3:$E$65,1)))</f>
        <v/>
      </c>
      <c r="B40" t="str">
        <f>IF($G40="","",INDEX('Passages List'!C$3:C$65,MATCH($G40,'Passages List'!$E$3:$E$65,1)))</f>
        <v>Chennai (ex Madras) (INMAA)</v>
      </c>
      <c r="C40" s="1">
        <f>IF($G40="","",INDEX('Passages List'!E$3:E$65,MATCH($G40,'Passages List'!$E$3:$E$65,1)))</f>
        <v>46076.98333333333</v>
      </c>
      <c r="D40" s="1">
        <f>IF($G40="","",INDEX('Passages List'!F$3:F$65,MATCH($G40,'Passages List'!$E$3:$E$65,1)))</f>
        <v>46078.324999999997</v>
      </c>
      <c r="E40" t="str">
        <f>IF($G40="","",INDEX('Passages List'!G$3:G$65,MATCH($G40,'Passages List'!$E$3:$E$65,1)))</f>
        <v>Cargo operations</v>
      </c>
      <c r="F40" t="s">
        <v>105</v>
      </c>
      <c r="G40" s="1">
        <v>46077.270833333336</v>
      </c>
      <c r="H40" t="s">
        <v>185</v>
      </c>
      <c r="I40" t="s">
        <v>186</v>
      </c>
      <c r="J40" t="s">
        <v>632</v>
      </c>
      <c r="L40" t="s">
        <v>187</v>
      </c>
      <c r="M40" t="s">
        <v>17</v>
      </c>
      <c r="N40" t="s">
        <v>17</v>
      </c>
      <c r="O40">
        <v>0.6</v>
      </c>
      <c r="P40">
        <v>0.4</v>
      </c>
    </row>
    <row r="41" spans="1:16" x14ac:dyDescent="0.2">
      <c r="A41" t="str">
        <f>IF($G41="","",INDEX('Passages List'!B$3:B$65,MATCH($G41,'Passages List'!$E$3:$E$65,1)))</f>
        <v/>
      </c>
      <c r="B41" t="str">
        <f>IF($G41="","",INDEX('Passages List'!C$3:C$65,MATCH($G41,'Passages List'!$E$3:$E$65,1)))</f>
        <v>Chennai (ex Madras) (INMAA)</v>
      </c>
      <c r="C41" s="1">
        <f>IF($G41="","",INDEX('Passages List'!E$3:E$65,MATCH($G41,'Passages List'!$E$3:$E$65,1)))</f>
        <v>46076.98333333333</v>
      </c>
      <c r="D41" s="1">
        <f>IF($G41="","",INDEX('Passages List'!F$3:F$65,MATCH($G41,'Passages List'!$E$3:$E$65,1)))</f>
        <v>46078.324999999997</v>
      </c>
      <c r="E41" t="str">
        <f>IF($G41="","",INDEX('Passages List'!G$3:G$65,MATCH($G41,'Passages List'!$E$3:$E$65,1)))</f>
        <v>Cargo operations</v>
      </c>
      <c r="F41" t="s">
        <v>105</v>
      </c>
      <c r="G41" s="1">
        <v>46078.270833333336</v>
      </c>
      <c r="H41" t="s">
        <v>185</v>
      </c>
      <c r="I41" t="s">
        <v>186</v>
      </c>
      <c r="J41" t="s">
        <v>632</v>
      </c>
      <c r="L41" t="s">
        <v>102</v>
      </c>
      <c r="M41" t="s">
        <v>17</v>
      </c>
      <c r="N41" t="s">
        <v>17</v>
      </c>
      <c r="O41">
        <v>2</v>
      </c>
      <c r="P41">
        <v>1.5</v>
      </c>
    </row>
    <row r="42" spans="1:16" x14ac:dyDescent="0.2">
      <c r="A42" t="str">
        <f>IF($G42="","",INDEX('Passages List'!B$3:B$65,MATCH($G42,'Passages List'!$E$3:$E$65,1)))</f>
        <v>Chennai (ex Madras) (INMAA)</v>
      </c>
      <c r="B42" t="str">
        <f>IF($G42="","",INDEX('Passages List'!C$3:C$65,MATCH($G42,'Passages List'!$E$3:$E$65,1)))</f>
        <v>Hazira Port (Surat) Hbr (INHZA)</v>
      </c>
      <c r="C42" s="1">
        <f>IF($G42="","",INDEX('Passages List'!E$3:E$65,MATCH($G42,'Passages List'!$E$3:$E$65,1)))</f>
        <v>46078.324999999997</v>
      </c>
      <c r="D42" s="1">
        <f>IF($G42="","",INDEX('Passages List'!F$3:F$65,MATCH($G42,'Passages List'!$E$3:$E$65,1)))</f>
        <v>46085.470833333333</v>
      </c>
      <c r="E42" t="str">
        <f>IF($G42="","",INDEX('Passages List'!G$3:G$65,MATCH($G42,'Passages List'!$E$3:$E$65,1)))</f>
        <v>Ballast</v>
      </c>
      <c r="F42" t="s">
        <v>106</v>
      </c>
      <c r="G42" s="1">
        <v>46078.324999999997</v>
      </c>
      <c r="H42" t="s">
        <v>188</v>
      </c>
      <c r="I42" t="s">
        <v>189</v>
      </c>
      <c r="J42" t="s">
        <v>631</v>
      </c>
      <c r="L42" t="s">
        <v>116</v>
      </c>
      <c r="M42" t="s">
        <v>17</v>
      </c>
      <c r="N42" t="s">
        <v>17</v>
      </c>
      <c r="O42">
        <v>0.1</v>
      </c>
      <c r="P42">
        <v>0.1</v>
      </c>
    </row>
    <row r="43" spans="1:16" x14ac:dyDescent="0.2">
      <c r="A43" t="str">
        <f>IF($G43="","",INDEX('Passages List'!B$3:B$65,MATCH($G43,'Passages List'!$E$3:$E$65,1)))</f>
        <v>Chennai (ex Madras) (INMAA)</v>
      </c>
      <c r="B43" t="str">
        <f>IF($G43="","",INDEX('Passages List'!C$3:C$65,MATCH($G43,'Passages List'!$E$3:$E$65,1)))</f>
        <v>Hazira Port (Surat) Hbr (INHZA)</v>
      </c>
      <c r="C43" s="1">
        <f>IF($G43="","",INDEX('Passages List'!E$3:E$65,MATCH($G43,'Passages List'!$E$3:$E$65,1)))</f>
        <v>46078.324999999997</v>
      </c>
      <c r="D43" s="1">
        <f>IF($G43="","",INDEX('Passages List'!F$3:F$65,MATCH($G43,'Passages List'!$E$3:$E$65,1)))</f>
        <v>46085.470833333333</v>
      </c>
      <c r="E43" t="str">
        <f>IF($G43="","",INDEX('Passages List'!G$3:G$65,MATCH($G43,'Passages List'!$E$3:$E$65,1)))</f>
        <v>Ballast</v>
      </c>
      <c r="F43" t="s">
        <v>99</v>
      </c>
      <c r="G43" s="1">
        <v>46078.375</v>
      </c>
      <c r="H43" t="s">
        <v>188</v>
      </c>
      <c r="I43" t="s">
        <v>189</v>
      </c>
      <c r="J43" t="s">
        <v>631</v>
      </c>
      <c r="K43" t="s">
        <v>623</v>
      </c>
      <c r="L43" t="s">
        <v>190</v>
      </c>
      <c r="M43">
        <v>5</v>
      </c>
      <c r="N43" t="s">
        <v>17</v>
      </c>
      <c r="O43">
        <v>0.4</v>
      </c>
      <c r="P43" t="s">
        <v>17</v>
      </c>
    </row>
    <row r="44" spans="1:16" x14ac:dyDescent="0.2">
      <c r="A44" t="str">
        <f>IF($G44="","",INDEX('Passages List'!B$3:B$65,MATCH($G44,'Passages List'!$E$3:$E$65,1)))</f>
        <v>Chennai (ex Madras) (INMAA)</v>
      </c>
      <c r="B44" t="str">
        <f>IF($G44="","",INDEX('Passages List'!C$3:C$65,MATCH($G44,'Passages List'!$E$3:$E$65,1)))</f>
        <v>Hazira Port (Surat) Hbr (INHZA)</v>
      </c>
      <c r="C44" s="1">
        <f>IF($G44="","",INDEX('Passages List'!E$3:E$65,MATCH($G44,'Passages List'!$E$3:$E$65,1)))</f>
        <v>46078.324999999997</v>
      </c>
      <c r="D44" s="1">
        <f>IF($G44="","",INDEX('Passages List'!F$3:F$65,MATCH($G44,'Passages List'!$E$3:$E$65,1)))</f>
        <v>46085.470833333333</v>
      </c>
      <c r="E44" t="str">
        <f>IF($G44="","",INDEX('Passages List'!G$3:G$65,MATCH($G44,'Passages List'!$E$3:$E$65,1)))</f>
        <v>Ballast</v>
      </c>
      <c r="F44" t="s">
        <v>99</v>
      </c>
      <c r="G44" s="1">
        <v>46079.270833333336</v>
      </c>
      <c r="H44" t="s">
        <v>191</v>
      </c>
      <c r="I44" t="s">
        <v>192</v>
      </c>
      <c r="J44" t="s">
        <v>631</v>
      </c>
      <c r="K44" t="s">
        <v>641</v>
      </c>
      <c r="L44" t="s">
        <v>193</v>
      </c>
      <c r="M44">
        <v>248</v>
      </c>
      <c r="N44" t="s">
        <v>17</v>
      </c>
      <c r="O44">
        <v>12.1</v>
      </c>
      <c r="P44" t="s">
        <v>17</v>
      </c>
    </row>
    <row r="45" spans="1:16" x14ac:dyDescent="0.2">
      <c r="A45" t="str">
        <f>IF($G45="","",INDEX('Passages List'!B$3:B$65,MATCH($G45,'Passages List'!$E$3:$E$65,1)))</f>
        <v>Chennai (ex Madras) (INMAA)</v>
      </c>
      <c r="B45" t="str">
        <f>IF($G45="","",INDEX('Passages List'!C$3:C$65,MATCH($G45,'Passages List'!$E$3:$E$65,1)))</f>
        <v>Hazira Port (Surat) Hbr (INHZA)</v>
      </c>
      <c r="C45" s="1">
        <f>IF($G45="","",INDEX('Passages List'!E$3:E$65,MATCH($G45,'Passages List'!$E$3:$E$65,1)))</f>
        <v>46078.324999999997</v>
      </c>
      <c r="D45" s="1">
        <f>IF($G45="","",INDEX('Passages List'!F$3:F$65,MATCH($G45,'Passages List'!$E$3:$E$65,1)))</f>
        <v>46085.470833333333</v>
      </c>
      <c r="E45" t="str">
        <f>IF($G45="","",INDEX('Passages List'!G$3:G$65,MATCH($G45,'Passages List'!$E$3:$E$65,1)))</f>
        <v>Ballast</v>
      </c>
      <c r="F45" t="s">
        <v>99</v>
      </c>
      <c r="G45" s="1">
        <v>46080.270833333336</v>
      </c>
      <c r="H45" t="s">
        <v>194</v>
      </c>
      <c r="I45" t="s">
        <v>195</v>
      </c>
      <c r="J45" t="s">
        <v>631</v>
      </c>
      <c r="K45" t="s">
        <v>641</v>
      </c>
      <c r="L45" t="s">
        <v>102</v>
      </c>
      <c r="M45">
        <v>288</v>
      </c>
      <c r="N45" t="s">
        <v>17</v>
      </c>
      <c r="O45">
        <v>15</v>
      </c>
      <c r="P45" t="s">
        <v>17</v>
      </c>
    </row>
    <row r="46" spans="1:16" x14ac:dyDescent="0.2">
      <c r="A46" t="str">
        <f>IF($G46="","",INDEX('Passages List'!B$3:B$65,MATCH($G46,'Passages List'!$E$3:$E$65,1)))</f>
        <v>Chennai (ex Madras) (INMAA)</v>
      </c>
      <c r="B46" t="str">
        <f>IF($G46="","",INDEX('Passages List'!C$3:C$65,MATCH($G46,'Passages List'!$E$3:$E$65,1)))</f>
        <v>Hazira Port (Surat) Hbr (INHZA)</v>
      </c>
      <c r="C46" s="1">
        <f>IF($G46="","",INDEX('Passages List'!E$3:E$65,MATCH($G46,'Passages List'!$E$3:$E$65,1)))</f>
        <v>46078.324999999997</v>
      </c>
      <c r="D46" s="1">
        <f>IF($G46="","",INDEX('Passages List'!F$3:F$65,MATCH($G46,'Passages List'!$E$3:$E$65,1)))</f>
        <v>46085.470833333333</v>
      </c>
      <c r="E46" t="str">
        <f>IF($G46="","",INDEX('Passages List'!G$3:G$65,MATCH($G46,'Passages List'!$E$3:$E$65,1)))</f>
        <v>Ballast</v>
      </c>
      <c r="F46" t="s">
        <v>99</v>
      </c>
      <c r="G46" s="1">
        <v>46081.270833333336</v>
      </c>
      <c r="H46" t="s">
        <v>196</v>
      </c>
      <c r="I46" t="s">
        <v>197</v>
      </c>
      <c r="J46" t="s">
        <v>631</v>
      </c>
      <c r="K46" t="s">
        <v>641</v>
      </c>
      <c r="L46" t="s">
        <v>102</v>
      </c>
      <c r="M46">
        <v>284</v>
      </c>
      <c r="N46" t="s">
        <v>17</v>
      </c>
      <c r="O46">
        <v>14.8</v>
      </c>
      <c r="P46" t="s">
        <v>17</v>
      </c>
    </row>
    <row r="47" spans="1:16" x14ac:dyDescent="0.2">
      <c r="A47" t="str">
        <f>IF($G47="","",INDEX('Passages List'!B$3:B$65,MATCH($G47,'Passages List'!$E$3:$E$65,1)))</f>
        <v>Chennai (ex Madras) (INMAA)</v>
      </c>
      <c r="B47" t="str">
        <f>IF($G47="","",INDEX('Passages List'!C$3:C$65,MATCH($G47,'Passages List'!$E$3:$E$65,1)))</f>
        <v>Hazira Port (Surat) Hbr (INHZA)</v>
      </c>
      <c r="C47" s="1">
        <f>IF($G47="","",INDEX('Passages List'!E$3:E$65,MATCH($G47,'Passages List'!$E$3:$E$65,1)))</f>
        <v>46078.324999999997</v>
      </c>
      <c r="D47" s="1">
        <f>IF($G47="","",INDEX('Passages List'!F$3:F$65,MATCH($G47,'Passages List'!$E$3:$E$65,1)))</f>
        <v>46085.470833333333</v>
      </c>
      <c r="E47" t="str">
        <f>IF($G47="","",INDEX('Passages List'!G$3:G$65,MATCH($G47,'Passages List'!$E$3:$E$65,1)))</f>
        <v>Ballast</v>
      </c>
      <c r="F47" t="s">
        <v>99</v>
      </c>
      <c r="G47" s="1">
        <v>46082.270833333336</v>
      </c>
      <c r="H47" t="s">
        <v>198</v>
      </c>
      <c r="I47" t="s">
        <v>199</v>
      </c>
      <c r="J47" t="s">
        <v>631</v>
      </c>
      <c r="K47" t="s">
        <v>641</v>
      </c>
      <c r="L47" t="s">
        <v>102</v>
      </c>
      <c r="M47">
        <v>278</v>
      </c>
      <c r="N47" t="s">
        <v>17</v>
      </c>
      <c r="O47">
        <v>14.8</v>
      </c>
      <c r="P47" t="s">
        <v>17</v>
      </c>
    </row>
    <row r="48" spans="1:16" x14ac:dyDescent="0.2">
      <c r="A48" t="str">
        <f>IF($G48="","",INDEX('Passages List'!B$3:B$65,MATCH($G48,'Passages List'!$E$3:$E$65,1)))</f>
        <v>Chennai (ex Madras) (INMAA)</v>
      </c>
      <c r="B48" t="str">
        <f>IF($G48="","",INDEX('Passages List'!C$3:C$65,MATCH($G48,'Passages List'!$E$3:$E$65,1)))</f>
        <v>Hazira Port (Surat) Hbr (INHZA)</v>
      </c>
      <c r="C48" s="1">
        <f>IF($G48="","",INDEX('Passages List'!E$3:E$65,MATCH($G48,'Passages List'!$E$3:$E$65,1)))</f>
        <v>46078.324999999997</v>
      </c>
      <c r="D48" s="1">
        <f>IF($G48="","",INDEX('Passages List'!F$3:F$65,MATCH($G48,'Passages List'!$E$3:$E$65,1)))</f>
        <v>46085.470833333333</v>
      </c>
      <c r="E48" t="str">
        <f>IF($G48="","",INDEX('Passages List'!G$3:G$65,MATCH($G48,'Passages List'!$E$3:$E$65,1)))</f>
        <v>Ballast</v>
      </c>
      <c r="F48" t="s">
        <v>99</v>
      </c>
      <c r="G48" s="1">
        <v>46083.270833333336</v>
      </c>
      <c r="H48" t="s">
        <v>200</v>
      </c>
      <c r="I48" t="s">
        <v>201</v>
      </c>
      <c r="J48" t="s">
        <v>631</v>
      </c>
      <c r="K48" t="s">
        <v>641</v>
      </c>
      <c r="L48" t="s">
        <v>102</v>
      </c>
      <c r="M48">
        <v>287</v>
      </c>
      <c r="N48" t="s">
        <v>17</v>
      </c>
      <c r="O48">
        <v>14.8</v>
      </c>
      <c r="P48">
        <v>0.1</v>
      </c>
    </row>
    <row r="49" spans="1:16" x14ac:dyDescent="0.2">
      <c r="A49" t="str">
        <f>IF($G49="","",INDEX('Passages List'!B$3:B$65,MATCH($G49,'Passages List'!$E$3:$E$65,1)))</f>
        <v>Chennai (ex Madras) (INMAA)</v>
      </c>
      <c r="B49" t="str">
        <f>IF($G49="","",INDEX('Passages List'!C$3:C$65,MATCH($G49,'Passages List'!$E$3:$E$65,1)))</f>
        <v>Hazira Port (Surat) Hbr (INHZA)</v>
      </c>
      <c r="C49" s="1">
        <f>IF($G49="","",INDEX('Passages List'!E$3:E$65,MATCH($G49,'Passages List'!$E$3:$E$65,1)))</f>
        <v>46078.324999999997</v>
      </c>
      <c r="D49" s="1">
        <f>IF($G49="","",INDEX('Passages List'!F$3:F$65,MATCH($G49,'Passages List'!$E$3:$E$65,1)))</f>
        <v>46085.470833333333</v>
      </c>
      <c r="E49" t="str">
        <f>IF($G49="","",INDEX('Passages List'!G$3:G$65,MATCH($G49,'Passages List'!$E$3:$E$65,1)))</f>
        <v>Ballast</v>
      </c>
      <c r="F49" t="s">
        <v>99</v>
      </c>
      <c r="G49" s="1">
        <v>46084.020833333336</v>
      </c>
      <c r="H49" t="s">
        <v>202</v>
      </c>
      <c r="I49" t="s">
        <v>203</v>
      </c>
      <c r="J49" t="s">
        <v>631</v>
      </c>
      <c r="K49" t="s">
        <v>641</v>
      </c>
      <c r="L49" t="s">
        <v>204</v>
      </c>
      <c r="M49">
        <v>211</v>
      </c>
      <c r="N49" t="s">
        <v>17</v>
      </c>
      <c r="O49">
        <v>11.2</v>
      </c>
      <c r="P49" t="s">
        <v>17</v>
      </c>
    </row>
    <row r="50" spans="1:16" x14ac:dyDescent="0.2">
      <c r="A50" t="str">
        <f>IF($G50="","",INDEX('Passages List'!B$3:B$65,MATCH($G50,'Passages List'!$E$3:$E$65,1)))</f>
        <v>Chennai (ex Madras) (INMAA)</v>
      </c>
      <c r="B50" t="str">
        <f>IF($G50="","",INDEX('Passages List'!C$3:C$65,MATCH($G50,'Passages List'!$E$3:$E$65,1)))</f>
        <v>Hazira Port (Surat) Hbr (INHZA)</v>
      </c>
      <c r="C50" s="1">
        <f>IF($G50="","",INDEX('Passages List'!E$3:E$65,MATCH($G50,'Passages List'!$E$3:$E$65,1)))</f>
        <v>46078.324999999997</v>
      </c>
      <c r="D50" s="1">
        <f>IF($G50="","",INDEX('Passages List'!F$3:F$65,MATCH($G50,'Passages List'!$E$3:$E$65,1)))</f>
        <v>46085.470833333333</v>
      </c>
      <c r="E50" t="str">
        <f>IF($G50="","",INDEX('Passages List'!G$3:G$65,MATCH($G50,'Passages List'!$E$3:$E$65,1)))</f>
        <v>Ballast</v>
      </c>
      <c r="F50" t="s">
        <v>105</v>
      </c>
      <c r="G50" s="1">
        <v>46084.270833333336</v>
      </c>
      <c r="H50" t="s">
        <v>202</v>
      </c>
      <c r="I50" t="s">
        <v>203</v>
      </c>
      <c r="J50" t="s">
        <v>631</v>
      </c>
      <c r="K50" t="s">
        <v>624</v>
      </c>
      <c r="L50" t="s">
        <v>205</v>
      </c>
      <c r="M50">
        <v>11</v>
      </c>
      <c r="N50" t="s">
        <v>17</v>
      </c>
      <c r="O50">
        <v>1</v>
      </c>
      <c r="P50">
        <v>0.3</v>
      </c>
    </row>
    <row r="51" spans="1:16" x14ac:dyDescent="0.2">
      <c r="A51" t="str">
        <f>IF($G51="","",INDEX('Passages List'!B$3:B$65,MATCH($G51,'Passages List'!$E$3:$E$65,1)))</f>
        <v>Chennai (ex Madras) (INMAA)</v>
      </c>
      <c r="B51" t="str">
        <f>IF($G51="","",INDEX('Passages List'!C$3:C$65,MATCH($G51,'Passages List'!$E$3:$E$65,1)))</f>
        <v>Hazira Port (Surat) Hbr (INHZA)</v>
      </c>
      <c r="C51" s="1">
        <f>IF($G51="","",INDEX('Passages List'!E$3:E$65,MATCH($G51,'Passages List'!$E$3:$E$65,1)))</f>
        <v>46078.324999999997</v>
      </c>
      <c r="D51" s="1">
        <f>IF($G51="","",INDEX('Passages List'!F$3:F$65,MATCH($G51,'Passages List'!$E$3:$E$65,1)))</f>
        <v>46085.470833333333</v>
      </c>
      <c r="E51" t="str">
        <f>IF($G51="","",INDEX('Passages List'!G$3:G$65,MATCH($G51,'Passages List'!$E$3:$E$65,1)))</f>
        <v>Ballast</v>
      </c>
      <c r="F51" t="s">
        <v>105</v>
      </c>
      <c r="G51" s="1">
        <v>46085.270833333336</v>
      </c>
      <c r="H51" t="s">
        <v>202</v>
      </c>
      <c r="I51" t="s">
        <v>203</v>
      </c>
      <c r="J51" t="s">
        <v>631</v>
      </c>
      <c r="L51" t="s">
        <v>102</v>
      </c>
      <c r="M51" t="s">
        <v>17</v>
      </c>
      <c r="N51" t="s">
        <v>17</v>
      </c>
      <c r="O51">
        <v>1.8</v>
      </c>
      <c r="P51">
        <v>1.5</v>
      </c>
    </row>
    <row r="52" spans="1:16" x14ac:dyDescent="0.2">
      <c r="A52" t="str">
        <f>IF($G52="","",INDEX('Passages List'!B$3:B$65,MATCH($G52,'Passages List'!$E$3:$E$65,1)))</f>
        <v/>
      </c>
      <c r="B52" t="str">
        <f>IF($G52="","",INDEX('Passages List'!C$3:C$65,MATCH($G52,'Passages List'!$E$3:$E$65,1)))</f>
        <v>Hazira Port (Surat) Hbr (INHZA)</v>
      </c>
      <c r="C52" s="1">
        <f>IF($G52="","",INDEX('Passages List'!E$3:E$65,MATCH($G52,'Passages List'!$E$3:$E$65,1)))</f>
        <v>46085.470833333333</v>
      </c>
      <c r="D52" s="1">
        <f>IF($G52="","",INDEX('Passages List'!F$3:F$65,MATCH($G52,'Passages List'!$E$3:$E$65,1)))</f>
        <v>46087.9375</v>
      </c>
      <c r="E52" t="str">
        <f>IF($G52="","",INDEX('Passages List'!G$3:G$65,MATCH($G52,'Passages List'!$E$3:$E$65,1)))</f>
        <v>Cargo operations</v>
      </c>
      <c r="F52" t="s">
        <v>104</v>
      </c>
      <c r="G52" s="1">
        <v>46085.470833333333</v>
      </c>
      <c r="H52" t="s">
        <v>206</v>
      </c>
      <c r="I52" t="s">
        <v>150</v>
      </c>
      <c r="J52" t="s">
        <v>631</v>
      </c>
      <c r="L52" t="s">
        <v>110</v>
      </c>
      <c r="M52">
        <v>21</v>
      </c>
      <c r="N52" t="s">
        <v>17</v>
      </c>
      <c r="O52">
        <v>0.7</v>
      </c>
      <c r="P52">
        <v>0.2</v>
      </c>
    </row>
    <row r="53" spans="1:16" x14ac:dyDescent="0.2">
      <c r="A53" t="str">
        <f>IF($G53="","",INDEX('Passages List'!B$3:B$65,MATCH($G53,'Passages List'!$E$3:$E$65,1)))</f>
        <v/>
      </c>
      <c r="B53" t="str">
        <f>IF($G53="","",INDEX('Passages List'!C$3:C$65,MATCH($G53,'Passages List'!$E$3:$E$65,1)))</f>
        <v>Hazira Port (Surat) Hbr (INHZA)</v>
      </c>
      <c r="C53" s="1">
        <f>IF($G53="","",INDEX('Passages List'!E$3:E$65,MATCH($G53,'Passages List'!$E$3:$E$65,1)))</f>
        <v>46085.470833333333</v>
      </c>
      <c r="D53" s="1">
        <f>IF($G53="","",INDEX('Passages List'!F$3:F$65,MATCH($G53,'Passages List'!$E$3:$E$65,1)))</f>
        <v>46087.9375</v>
      </c>
      <c r="E53" t="str">
        <f>IF($G53="","",INDEX('Passages List'!G$3:G$65,MATCH($G53,'Passages List'!$E$3:$E$65,1)))</f>
        <v>Cargo operations</v>
      </c>
      <c r="F53" t="s">
        <v>105</v>
      </c>
      <c r="G53" s="1">
        <v>46086.270833333336</v>
      </c>
      <c r="H53" t="s">
        <v>206</v>
      </c>
      <c r="I53" t="s">
        <v>150</v>
      </c>
      <c r="J53" t="s">
        <v>631</v>
      </c>
      <c r="L53" t="s">
        <v>207</v>
      </c>
      <c r="M53" t="s">
        <v>17</v>
      </c>
      <c r="N53" t="s">
        <v>17</v>
      </c>
      <c r="O53">
        <v>1.7</v>
      </c>
      <c r="P53">
        <v>1.2</v>
      </c>
    </row>
    <row r="54" spans="1:16" x14ac:dyDescent="0.2">
      <c r="A54" t="str">
        <f>IF($G54="","",INDEX('Passages List'!B$3:B$65,MATCH($G54,'Passages List'!$E$3:$E$65,1)))</f>
        <v/>
      </c>
      <c r="B54" t="str">
        <f>IF($G54="","",INDEX('Passages List'!C$3:C$65,MATCH($G54,'Passages List'!$E$3:$E$65,1)))</f>
        <v>Hazira Port (Surat) Hbr (INHZA)</v>
      </c>
      <c r="C54" s="1">
        <f>IF($G54="","",INDEX('Passages List'!E$3:E$65,MATCH($G54,'Passages List'!$E$3:$E$65,1)))</f>
        <v>46085.470833333333</v>
      </c>
      <c r="D54" s="1">
        <f>IF($G54="","",INDEX('Passages List'!F$3:F$65,MATCH($G54,'Passages List'!$E$3:$E$65,1)))</f>
        <v>46087.9375</v>
      </c>
      <c r="E54" t="str">
        <f>IF($G54="","",INDEX('Passages List'!G$3:G$65,MATCH($G54,'Passages List'!$E$3:$E$65,1)))</f>
        <v>Cargo operations</v>
      </c>
      <c r="F54" t="s">
        <v>105</v>
      </c>
      <c r="G54" s="1">
        <v>46087.270833333336</v>
      </c>
      <c r="H54" t="s">
        <v>206</v>
      </c>
      <c r="I54" t="s">
        <v>150</v>
      </c>
      <c r="J54" t="s">
        <v>631</v>
      </c>
      <c r="L54" t="s">
        <v>102</v>
      </c>
      <c r="M54" t="s">
        <v>17</v>
      </c>
      <c r="N54" t="s">
        <v>17</v>
      </c>
      <c r="O54">
        <v>1.9</v>
      </c>
      <c r="P54">
        <v>1.3</v>
      </c>
    </row>
    <row r="55" spans="1:16" x14ac:dyDescent="0.2">
      <c r="A55" t="str">
        <f>IF($G55="","",INDEX('Passages List'!B$3:B$65,MATCH($G55,'Passages List'!$E$3:$E$65,1)))</f>
        <v>Hazira Port (Surat) Hbr (INHZA)</v>
      </c>
      <c r="B55" t="str">
        <f>IF($G55="","",INDEX('Passages List'!C$3:C$65,MATCH($G55,'Passages List'!$E$3:$E$65,1)))</f>
        <v>Pir Pau (INBOM)</v>
      </c>
      <c r="C55" s="1">
        <f>IF($G55="","",INDEX('Passages List'!E$3:E$65,MATCH($G55,'Passages List'!$E$3:$E$65,1)))</f>
        <v>46087.9375</v>
      </c>
      <c r="D55" s="1">
        <f>IF($G55="","",INDEX('Passages List'!F$3:F$65,MATCH($G55,'Passages List'!$E$3:$E$65,1)))</f>
        <v>46088.904166666667</v>
      </c>
      <c r="E55" t="str">
        <f>IF($G55="","",INDEX('Passages List'!G$3:G$65,MATCH($G55,'Passages List'!$E$3:$E$65,1)))</f>
        <v>Cargo</v>
      </c>
      <c r="F55" t="s">
        <v>106</v>
      </c>
      <c r="G55" s="1">
        <v>46087.9375</v>
      </c>
      <c r="H55" t="s">
        <v>206</v>
      </c>
      <c r="I55" t="s">
        <v>150</v>
      </c>
      <c r="J55" t="s">
        <v>630</v>
      </c>
      <c r="L55" t="s">
        <v>208</v>
      </c>
      <c r="M55" t="s">
        <v>17</v>
      </c>
      <c r="N55">
        <v>9017.9</v>
      </c>
      <c r="O55">
        <v>1.2</v>
      </c>
      <c r="P55">
        <v>0.9</v>
      </c>
    </row>
    <row r="56" spans="1:16" x14ac:dyDescent="0.2">
      <c r="A56" t="str">
        <f>IF($G56="","",INDEX('Passages List'!B$3:B$65,MATCH($G56,'Passages List'!$E$3:$E$65,1)))</f>
        <v>Hazira Port (Surat) Hbr (INHZA)</v>
      </c>
      <c r="B56" t="str">
        <f>IF($G56="","",INDEX('Passages List'!C$3:C$65,MATCH($G56,'Passages List'!$E$3:$E$65,1)))</f>
        <v>Pir Pau (INBOM)</v>
      </c>
      <c r="C56" s="1">
        <f>IF($G56="","",INDEX('Passages List'!E$3:E$65,MATCH($G56,'Passages List'!$E$3:$E$65,1)))</f>
        <v>46087.9375</v>
      </c>
      <c r="D56" s="1">
        <f>IF($G56="","",INDEX('Passages List'!F$3:F$65,MATCH($G56,'Passages List'!$E$3:$E$65,1)))</f>
        <v>46088.904166666667</v>
      </c>
      <c r="E56" t="str">
        <f>IF($G56="","",INDEX('Passages List'!G$3:G$65,MATCH($G56,'Passages List'!$E$3:$E$65,1)))</f>
        <v>Cargo</v>
      </c>
      <c r="F56" t="s">
        <v>99</v>
      </c>
      <c r="G56" s="1">
        <v>46088</v>
      </c>
      <c r="H56" t="s">
        <v>209</v>
      </c>
      <c r="I56" t="s">
        <v>210</v>
      </c>
      <c r="J56" t="s">
        <v>630</v>
      </c>
      <c r="K56" t="s">
        <v>623</v>
      </c>
      <c r="L56" t="s">
        <v>156</v>
      </c>
      <c r="M56">
        <v>12.8</v>
      </c>
      <c r="N56" t="s">
        <v>17</v>
      </c>
      <c r="O56">
        <v>0.6</v>
      </c>
      <c r="P56" t="s">
        <v>17</v>
      </c>
    </row>
    <row r="57" spans="1:16" x14ac:dyDescent="0.2">
      <c r="A57" t="str">
        <f>IF($G57="","",INDEX('Passages List'!B$3:B$65,MATCH($G57,'Passages List'!$E$3:$E$65,1)))</f>
        <v>Hazira Port (Surat) Hbr (INHZA)</v>
      </c>
      <c r="B57" t="str">
        <f>IF($G57="","",INDEX('Passages List'!C$3:C$65,MATCH($G57,'Passages List'!$E$3:$E$65,1)))</f>
        <v>Pir Pau (INBOM)</v>
      </c>
      <c r="C57" s="1">
        <f>IF($G57="","",INDEX('Passages List'!E$3:E$65,MATCH($G57,'Passages List'!$E$3:$E$65,1)))</f>
        <v>46087.9375</v>
      </c>
      <c r="D57" s="1">
        <f>IF($G57="","",INDEX('Passages List'!F$3:F$65,MATCH($G57,'Passages List'!$E$3:$E$65,1)))</f>
        <v>46088.904166666667</v>
      </c>
      <c r="E57" t="str">
        <f>IF($G57="","",INDEX('Passages List'!G$3:G$65,MATCH($G57,'Passages List'!$E$3:$E$65,1)))</f>
        <v>Cargo</v>
      </c>
      <c r="F57" t="s">
        <v>99</v>
      </c>
      <c r="G57" s="1">
        <v>46088.270833333336</v>
      </c>
      <c r="H57" t="s">
        <v>100</v>
      </c>
      <c r="I57" t="s">
        <v>101</v>
      </c>
      <c r="J57" t="s">
        <v>630</v>
      </c>
      <c r="K57" t="s">
        <v>641</v>
      </c>
      <c r="L57" t="s">
        <v>211</v>
      </c>
      <c r="M57">
        <v>75</v>
      </c>
      <c r="N57" t="s">
        <v>17</v>
      </c>
      <c r="O57">
        <v>3.6</v>
      </c>
      <c r="P57" t="s">
        <v>17</v>
      </c>
    </row>
    <row r="58" spans="1:16" x14ac:dyDescent="0.2">
      <c r="A58" t="str">
        <f>IF($G58="","",INDEX('Passages List'!B$3:B$65,MATCH($G58,'Passages List'!$E$3:$E$65,1)))</f>
        <v>Hazira Port (Surat) Hbr (INHZA)</v>
      </c>
      <c r="B58" t="str">
        <f>IF($G58="","",INDEX('Passages List'!C$3:C$65,MATCH($G58,'Passages List'!$E$3:$E$65,1)))</f>
        <v>Pir Pau (INBOM)</v>
      </c>
      <c r="C58" s="1">
        <f>IF($G58="","",INDEX('Passages List'!E$3:E$65,MATCH($G58,'Passages List'!$E$3:$E$65,1)))</f>
        <v>46087.9375</v>
      </c>
      <c r="D58" s="1">
        <f>IF($G58="","",INDEX('Passages List'!F$3:F$65,MATCH($G58,'Passages List'!$E$3:$E$65,1)))</f>
        <v>46088.904166666667</v>
      </c>
      <c r="E58" t="str">
        <f>IF($G58="","",INDEX('Passages List'!G$3:G$65,MATCH($G58,'Passages List'!$E$3:$E$65,1)))</f>
        <v>Cargo</v>
      </c>
      <c r="F58" t="s">
        <v>99</v>
      </c>
      <c r="G58" s="1">
        <v>46088.395833333336</v>
      </c>
      <c r="H58" t="s">
        <v>212</v>
      </c>
      <c r="I58" t="s">
        <v>213</v>
      </c>
      <c r="J58" t="s">
        <v>630</v>
      </c>
      <c r="K58" t="s">
        <v>641</v>
      </c>
      <c r="L58" t="s">
        <v>103</v>
      </c>
      <c r="M58">
        <v>33</v>
      </c>
      <c r="N58" t="s">
        <v>17</v>
      </c>
      <c r="O58">
        <v>1.5</v>
      </c>
      <c r="P58" t="s">
        <v>17</v>
      </c>
    </row>
    <row r="59" spans="1:16" x14ac:dyDescent="0.2">
      <c r="A59" t="str">
        <f>IF($G59="","",INDEX('Passages List'!B$3:B$65,MATCH($G59,'Passages List'!$E$3:$E$65,1)))</f>
        <v/>
      </c>
      <c r="B59" t="str">
        <f>IF($G59="","",INDEX('Passages List'!C$3:C$65,MATCH($G59,'Passages List'!$E$3:$E$65,1)))</f>
        <v>Pir Pau (INBOM)</v>
      </c>
      <c r="C59" s="1">
        <f>IF($G59="","",INDEX('Passages List'!E$3:E$65,MATCH($G59,'Passages List'!$E$3:$E$65,1)))</f>
        <v>46088.904166666667</v>
      </c>
      <c r="D59" s="1">
        <f>IF($G59="","",INDEX('Passages List'!F$3:F$65,MATCH($G59,'Passages List'!$E$3:$E$65,1)))</f>
        <v>46090.098611111112</v>
      </c>
      <c r="E59" t="str">
        <f>IF($G59="","",INDEX('Passages List'!G$3:G$65,MATCH($G59,'Passages List'!$E$3:$E$65,1)))</f>
        <v>Cargo operations</v>
      </c>
      <c r="F59" t="s">
        <v>104</v>
      </c>
      <c r="G59" s="1">
        <v>46088.904166666667</v>
      </c>
      <c r="H59" t="s">
        <v>214</v>
      </c>
      <c r="I59" t="s">
        <v>215</v>
      </c>
      <c r="J59" t="s">
        <v>630</v>
      </c>
      <c r="K59" t="s">
        <v>624</v>
      </c>
      <c r="L59" t="s">
        <v>216</v>
      </c>
      <c r="M59">
        <v>21.5</v>
      </c>
      <c r="N59">
        <v>9017.9</v>
      </c>
      <c r="O59">
        <v>1.7</v>
      </c>
      <c r="P59">
        <v>0.3</v>
      </c>
    </row>
    <row r="60" spans="1:16" x14ac:dyDescent="0.2">
      <c r="A60" t="str">
        <f>IF($G60="","",INDEX('Passages List'!B$3:B$65,MATCH($G60,'Passages List'!$E$3:$E$65,1)))</f>
        <v/>
      </c>
      <c r="B60" t="str">
        <f>IF($G60="","",INDEX('Passages List'!C$3:C$65,MATCH($G60,'Passages List'!$E$3:$E$65,1)))</f>
        <v>Pir Pau (INBOM)</v>
      </c>
      <c r="C60" s="1">
        <f>IF($G60="","",INDEX('Passages List'!E$3:E$65,MATCH($G60,'Passages List'!$E$3:$E$65,1)))</f>
        <v>46088.904166666667</v>
      </c>
      <c r="D60" s="1">
        <f>IF($G60="","",INDEX('Passages List'!F$3:F$65,MATCH($G60,'Passages List'!$E$3:$E$65,1)))</f>
        <v>46090.098611111112</v>
      </c>
      <c r="E60" t="str">
        <f>IF($G60="","",INDEX('Passages List'!G$3:G$65,MATCH($G60,'Passages List'!$E$3:$E$65,1)))</f>
        <v>Cargo operations</v>
      </c>
      <c r="F60" t="s">
        <v>105</v>
      </c>
      <c r="G60" s="1">
        <v>46089.270833333336</v>
      </c>
      <c r="H60" t="s">
        <v>214</v>
      </c>
      <c r="I60" t="s">
        <v>215</v>
      </c>
      <c r="J60" t="s">
        <v>630</v>
      </c>
      <c r="L60" t="s">
        <v>217</v>
      </c>
      <c r="M60" t="s">
        <v>17</v>
      </c>
      <c r="N60" t="s">
        <v>17</v>
      </c>
      <c r="O60">
        <v>0.7</v>
      </c>
      <c r="P60">
        <v>0.5</v>
      </c>
    </row>
    <row r="61" spans="1:16" x14ac:dyDescent="0.2">
      <c r="A61" t="str">
        <f>IF($G61="","",INDEX('Passages List'!B$3:B$65,MATCH($G61,'Passages List'!$E$3:$E$65,1)))</f>
        <v>Pir Pau (INBOM)</v>
      </c>
      <c r="B61" t="str">
        <f>IF($G61="","",INDEX('Passages List'!C$3:C$65,MATCH($G61,'Passages List'!$E$3:$E$65,1)))</f>
        <v>Hazira Port (Surat) Hbr (INHZA)</v>
      </c>
      <c r="C61" s="1">
        <f>IF($G61="","",INDEX('Passages List'!E$3:E$65,MATCH($G61,'Passages List'!$E$3:$E$65,1)))</f>
        <v>46090.098611111112</v>
      </c>
      <c r="D61" s="1">
        <f>IF($G61="","",INDEX('Passages List'!F$3:F$65,MATCH($G61,'Passages List'!$E$3:$E$65,1)))</f>
        <v>46090.89166666667</v>
      </c>
      <c r="E61" t="str">
        <f>IF($G61="","",INDEX('Passages List'!G$3:G$65,MATCH($G61,'Passages List'!$E$3:$E$65,1)))</f>
        <v>Ballast</v>
      </c>
      <c r="F61" t="s">
        <v>106</v>
      </c>
      <c r="G61" s="1">
        <v>46090.098611111112</v>
      </c>
      <c r="H61" t="s">
        <v>214</v>
      </c>
      <c r="I61" t="s">
        <v>215</v>
      </c>
      <c r="J61" t="s">
        <v>75</v>
      </c>
      <c r="L61" t="s">
        <v>218</v>
      </c>
      <c r="M61" t="s">
        <v>17</v>
      </c>
      <c r="N61" t="s">
        <v>17</v>
      </c>
      <c r="O61">
        <v>1.2</v>
      </c>
      <c r="P61">
        <v>0.9</v>
      </c>
    </row>
    <row r="62" spans="1:16" x14ac:dyDescent="0.2">
      <c r="A62" t="str">
        <f>IF($G62="","",INDEX('Passages List'!B$3:B$65,MATCH($G62,'Passages List'!$E$3:$E$65,1)))</f>
        <v>Pir Pau (INBOM)</v>
      </c>
      <c r="B62" t="str">
        <f>IF($G62="","",INDEX('Passages List'!C$3:C$65,MATCH($G62,'Passages List'!$E$3:$E$65,1)))</f>
        <v>Hazira Port (Surat) Hbr (INHZA)</v>
      </c>
      <c r="C62" s="1">
        <f>IF($G62="","",INDEX('Passages List'!E$3:E$65,MATCH($G62,'Passages List'!$E$3:$E$65,1)))</f>
        <v>46090.098611111112</v>
      </c>
      <c r="D62" s="1">
        <f>IF($G62="","",INDEX('Passages List'!F$3:F$65,MATCH($G62,'Passages List'!$E$3:$E$65,1)))</f>
        <v>46090.89166666667</v>
      </c>
      <c r="E62" t="str">
        <f>IF($G62="","",INDEX('Passages List'!G$3:G$65,MATCH($G62,'Passages List'!$E$3:$E$65,1)))</f>
        <v>Ballast</v>
      </c>
      <c r="F62" t="s">
        <v>99</v>
      </c>
      <c r="G62" s="1">
        <v>46090.208333333336</v>
      </c>
      <c r="H62" t="s">
        <v>219</v>
      </c>
      <c r="I62" t="s">
        <v>220</v>
      </c>
      <c r="J62" t="s">
        <v>75</v>
      </c>
      <c r="K62" t="s">
        <v>623</v>
      </c>
      <c r="L62" t="s">
        <v>221</v>
      </c>
      <c r="M62">
        <v>23</v>
      </c>
      <c r="N62" t="s">
        <v>17</v>
      </c>
      <c r="O62">
        <v>0.7</v>
      </c>
      <c r="P62" t="s">
        <v>17</v>
      </c>
    </row>
    <row r="63" spans="1:16" x14ac:dyDescent="0.2">
      <c r="A63" t="str">
        <f>IF($G63="","",INDEX('Passages List'!B$3:B$65,MATCH($G63,'Passages List'!$E$3:$E$65,1)))</f>
        <v>Pir Pau (INBOM)</v>
      </c>
      <c r="B63" t="str">
        <f>IF($G63="","",INDEX('Passages List'!C$3:C$65,MATCH($G63,'Passages List'!$E$3:$E$65,1)))</f>
        <v>Hazira Port (Surat) Hbr (INHZA)</v>
      </c>
      <c r="C63" s="1">
        <f>IF($G63="","",INDEX('Passages List'!E$3:E$65,MATCH($G63,'Passages List'!$E$3:$E$65,1)))</f>
        <v>46090.098611111112</v>
      </c>
      <c r="D63" s="1">
        <f>IF($G63="","",INDEX('Passages List'!F$3:F$65,MATCH($G63,'Passages List'!$E$3:$E$65,1)))</f>
        <v>46090.89166666667</v>
      </c>
      <c r="E63" t="str">
        <f>IF($G63="","",INDEX('Passages List'!G$3:G$65,MATCH($G63,'Passages List'!$E$3:$E$65,1)))</f>
        <v>Ballast</v>
      </c>
      <c r="F63" t="s">
        <v>99</v>
      </c>
      <c r="G63" s="1">
        <v>46090.270833333336</v>
      </c>
      <c r="H63" t="s">
        <v>222</v>
      </c>
      <c r="I63" t="s">
        <v>223</v>
      </c>
      <c r="J63" t="s">
        <v>75</v>
      </c>
      <c r="K63" t="s">
        <v>641</v>
      </c>
      <c r="L63" t="s">
        <v>156</v>
      </c>
      <c r="M63">
        <v>18</v>
      </c>
      <c r="N63" t="s">
        <v>17</v>
      </c>
      <c r="O63">
        <v>0.6</v>
      </c>
      <c r="P63" t="s">
        <v>17</v>
      </c>
    </row>
    <row r="64" spans="1:16" x14ac:dyDescent="0.2">
      <c r="A64" t="str">
        <f>IF($G64="","",INDEX('Passages List'!B$3:B$65,MATCH($G64,'Passages List'!$E$3:$E$65,1)))</f>
        <v>Pir Pau (INBOM)</v>
      </c>
      <c r="B64" t="str">
        <f>IF($G64="","",INDEX('Passages List'!C$3:C$65,MATCH($G64,'Passages List'!$E$3:$E$65,1)))</f>
        <v>Hazira Port (Surat) Hbr (INHZA)</v>
      </c>
      <c r="C64" s="1">
        <f>IF($G64="","",INDEX('Passages List'!E$3:E$65,MATCH($G64,'Passages List'!$E$3:$E$65,1)))</f>
        <v>46090.098611111112</v>
      </c>
      <c r="D64" s="1">
        <f>IF($G64="","",INDEX('Passages List'!F$3:F$65,MATCH($G64,'Passages List'!$E$3:$E$65,1)))</f>
        <v>46090.89166666667</v>
      </c>
      <c r="E64" t="str">
        <f>IF($G64="","",INDEX('Passages List'!G$3:G$65,MATCH($G64,'Passages List'!$E$3:$E$65,1)))</f>
        <v>Ballast</v>
      </c>
      <c r="F64" t="s">
        <v>99</v>
      </c>
      <c r="G64" s="1">
        <v>46090.604166666664</v>
      </c>
      <c r="H64" t="s">
        <v>224</v>
      </c>
      <c r="I64" t="s">
        <v>225</v>
      </c>
      <c r="J64" t="s">
        <v>75</v>
      </c>
      <c r="K64" t="s">
        <v>641</v>
      </c>
      <c r="L64" t="s">
        <v>226</v>
      </c>
      <c r="M64">
        <v>93</v>
      </c>
      <c r="N64" t="s">
        <v>17</v>
      </c>
      <c r="O64">
        <v>5</v>
      </c>
      <c r="P64" t="s">
        <v>17</v>
      </c>
    </row>
    <row r="65" spans="1:16" x14ac:dyDescent="0.2">
      <c r="A65" t="str">
        <f>IF($G65="","",INDEX('Passages List'!B$3:B$65,MATCH($G65,'Passages List'!$E$3:$E$65,1)))</f>
        <v/>
      </c>
      <c r="B65" t="str">
        <f>IF($G65="","",INDEX('Passages List'!C$3:C$65,MATCH($G65,'Passages List'!$E$3:$E$65,1)))</f>
        <v>Hazira Port (Surat) Hbr (INHZA)</v>
      </c>
      <c r="C65" s="1">
        <f>IF($G65="","",INDEX('Passages List'!E$3:E$65,MATCH($G65,'Passages List'!$E$3:$E$65,1)))</f>
        <v>46090.89166666667</v>
      </c>
      <c r="D65" s="1">
        <f>IF($G65="","",INDEX('Passages List'!F$3:F$65,MATCH($G65,'Passages List'!$E$3:$E$65,1)))</f>
        <v>46093.104166666664</v>
      </c>
      <c r="E65" t="str">
        <f>IF($G65="","",INDEX('Passages List'!G$3:G$65,MATCH($G65,'Passages List'!$E$3:$E$65,1)))</f>
        <v>Cargo operations</v>
      </c>
      <c r="F65" t="s">
        <v>104</v>
      </c>
      <c r="G65" s="1">
        <v>46090.89166666667</v>
      </c>
      <c r="H65" t="s">
        <v>227</v>
      </c>
      <c r="I65" t="s">
        <v>228</v>
      </c>
      <c r="J65" t="s">
        <v>75</v>
      </c>
      <c r="K65" t="s">
        <v>624</v>
      </c>
      <c r="L65" t="s">
        <v>187</v>
      </c>
      <c r="M65">
        <v>22</v>
      </c>
      <c r="N65" t="s">
        <v>17</v>
      </c>
      <c r="O65">
        <v>1.7</v>
      </c>
      <c r="P65" t="s">
        <v>17</v>
      </c>
    </row>
    <row r="66" spans="1:16" x14ac:dyDescent="0.2">
      <c r="A66" t="str">
        <f>IF($G66="","",INDEX('Passages List'!B$3:B$65,MATCH($G66,'Passages List'!$E$3:$E$65,1)))</f>
        <v/>
      </c>
      <c r="B66" t="str">
        <f>IF($G66="","",INDEX('Passages List'!C$3:C$65,MATCH($G66,'Passages List'!$E$3:$E$65,1)))</f>
        <v>Hazira Port (Surat) Hbr (INHZA)</v>
      </c>
      <c r="C66" s="1">
        <f>IF($G66="","",INDEX('Passages List'!E$3:E$65,MATCH($G66,'Passages List'!$E$3:$E$65,1)))</f>
        <v>46090.89166666667</v>
      </c>
      <c r="D66" s="1">
        <f>IF($G66="","",INDEX('Passages List'!F$3:F$65,MATCH($G66,'Passages List'!$E$3:$E$65,1)))</f>
        <v>46093.104166666664</v>
      </c>
      <c r="E66" t="str">
        <f>IF($G66="","",INDEX('Passages List'!G$3:G$65,MATCH($G66,'Passages List'!$E$3:$E$65,1)))</f>
        <v>Cargo operations</v>
      </c>
      <c r="F66" t="s">
        <v>105</v>
      </c>
      <c r="G66" s="1">
        <v>46091.270833333336</v>
      </c>
      <c r="H66" t="s">
        <v>227</v>
      </c>
      <c r="I66" t="s">
        <v>228</v>
      </c>
      <c r="J66" t="s">
        <v>75</v>
      </c>
      <c r="L66" t="s">
        <v>229</v>
      </c>
      <c r="M66" t="s">
        <v>17</v>
      </c>
      <c r="N66" t="s">
        <v>17</v>
      </c>
      <c r="O66">
        <v>0.8</v>
      </c>
      <c r="P66">
        <v>0.5</v>
      </c>
    </row>
    <row r="67" spans="1:16" x14ac:dyDescent="0.2">
      <c r="A67" t="str">
        <f>IF($G67="","",INDEX('Passages List'!B$3:B$65,MATCH($G67,'Passages List'!$E$3:$E$65,1)))</f>
        <v/>
      </c>
      <c r="B67" t="str">
        <f>IF($G67="","",INDEX('Passages List'!C$3:C$65,MATCH($G67,'Passages List'!$E$3:$E$65,1)))</f>
        <v>Hazira Port (Surat) Hbr (INHZA)</v>
      </c>
      <c r="C67" s="1">
        <f>IF($G67="","",INDEX('Passages List'!E$3:E$65,MATCH($G67,'Passages List'!$E$3:$E$65,1)))</f>
        <v>46090.89166666667</v>
      </c>
      <c r="D67" s="1">
        <f>IF($G67="","",INDEX('Passages List'!F$3:F$65,MATCH($G67,'Passages List'!$E$3:$E$65,1)))</f>
        <v>46093.104166666664</v>
      </c>
      <c r="E67" t="str">
        <f>IF($G67="","",INDEX('Passages List'!G$3:G$65,MATCH($G67,'Passages List'!$E$3:$E$65,1)))</f>
        <v>Cargo operations</v>
      </c>
      <c r="F67" t="s">
        <v>105</v>
      </c>
      <c r="G67" s="1">
        <v>46092.270833333336</v>
      </c>
      <c r="H67" t="s">
        <v>227</v>
      </c>
      <c r="I67" t="s">
        <v>228</v>
      </c>
      <c r="J67" t="s">
        <v>75</v>
      </c>
      <c r="L67" t="s">
        <v>102</v>
      </c>
      <c r="M67" t="s">
        <v>17</v>
      </c>
      <c r="N67" t="s">
        <v>17</v>
      </c>
      <c r="O67">
        <v>2.2000000000000002</v>
      </c>
      <c r="P67">
        <v>1.3</v>
      </c>
    </row>
    <row r="68" spans="1:16" x14ac:dyDescent="0.2">
      <c r="A68" t="str">
        <f>IF($G68="","",INDEX('Passages List'!B$3:B$65,MATCH($G68,'Passages List'!$E$3:$E$65,1)))</f>
        <v>Hazira Port (Surat) Hbr (INHZA)</v>
      </c>
      <c r="B68" t="str">
        <f>IF($G68="","",INDEX('Passages List'!C$3:C$65,MATCH($G68,'Passages List'!$E$3:$E$65,1)))</f>
        <v>New Mangalore (INNML)</v>
      </c>
      <c r="C68" s="1">
        <f>IF($G68="","",INDEX('Passages List'!E$3:E$65,MATCH($G68,'Passages List'!$E$3:$E$65,1)))</f>
        <v>46093.104166666664</v>
      </c>
      <c r="D68" s="1">
        <f>IF($G68="","",INDEX('Passages List'!F$3:F$65,MATCH($G68,'Passages List'!$E$3:$E$65,1)))</f>
        <v>46095.237500000003</v>
      </c>
      <c r="E68" t="str">
        <f>IF($G68="","",INDEX('Passages List'!G$3:G$65,MATCH($G68,'Passages List'!$E$3:$E$65,1)))</f>
        <v>Cargo</v>
      </c>
      <c r="F68" t="s">
        <v>106</v>
      </c>
      <c r="G68" s="1">
        <v>46093.104166666664</v>
      </c>
      <c r="H68" t="s">
        <v>227</v>
      </c>
      <c r="I68" t="s">
        <v>228</v>
      </c>
      <c r="J68" t="s">
        <v>625</v>
      </c>
      <c r="L68" t="s">
        <v>117</v>
      </c>
      <c r="M68" t="s">
        <v>17</v>
      </c>
      <c r="N68">
        <v>11928</v>
      </c>
      <c r="O68">
        <v>1.8</v>
      </c>
      <c r="P68">
        <v>1.1000000000000001</v>
      </c>
    </row>
    <row r="69" spans="1:16" x14ac:dyDescent="0.2">
      <c r="A69" t="str">
        <f>IF($G69="","",INDEX('Passages List'!B$3:B$65,MATCH($G69,'Passages List'!$E$3:$E$65,1)))</f>
        <v>Hazira Port (Surat) Hbr (INHZA)</v>
      </c>
      <c r="B69" t="str">
        <f>IF($G69="","",INDEX('Passages List'!C$3:C$65,MATCH($G69,'Passages List'!$E$3:$E$65,1)))</f>
        <v>New Mangalore (INNML)</v>
      </c>
      <c r="C69" s="1">
        <f>IF($G69="","",INDEX('Passages List'!E$3:E$65,MATCH($G69,'Passages List'!$E$3:$E$65,1)))</f>
        <v>46093.104166666664</v>
      </c>
      <c r="D69" s="1">
        <f>IF($G69="","",INDEX('Passages List'!F$3:F$65,MATCH($G69,'Passages List'!$E$3:$E$65,1)))</f>
        <v>46095.237500000003</v>
      </c>
      <c r="E69" t="str">
        <f>IF($G69="","",INDEX('Passages List'!G$3:G$65,MATCH($G69,'Passages List'!$E$3:$E$65,1)))</f>
        <v>Cargo</v>
      </c>
      <c r="F69" t="s">
        <v>99</v>
      </c>
      <c r="G69" s="1">
        <v>46093.166666666664</v>
      </c>
      <c r="H69" t="s">
        <v>230</v>
      </c>
      <c r="I69" t="s">
        <v>231</v>
      </c>
      <c r="J69" t="s">
        <v>625</v>
      </c>
      <c r="K69" t="s">
        <v>623</v>
      </c>
      <c r="L69" t="s">
        <v>156</v>
      </c>
      <c r="M69">
        <v>15</v>
      </c>
      <c r="N69" t="s">
        <v>17</v>
      </c>
      <c r="O69">
        <v>0.8</v>
      </c>
      <c r="P69" t="s">
        <v>17</v>
      </c>
    </row>
    <row r="70" spans="1:16" x14ac:dyDescent="0.2">
      <c r="A70" t="str">
        <f>IF($G70="","",INDEX('Passages List'!B$3:B$65,MATCH($G70,'Passages List'!$E$3:$E$65,1)))</f>
        <v>Hazira Port (Surat) Hbr (INHZA)</v>
      </c>
      <c r="B70" t="str">
        <f>IF($G70="","",INDEX('Passages List'!C$3:C$65,MATCH($G70,'Passages List'!$E$3:$E$65,1)))</f>
        <v>New Mangalore (INNML)</v>
      </c>
      <c r="C70" s="1">
        <f>IF($G70="","",INDEX('Passages List'!E$3:E$65,MATCH($G70,'Passages List'!$E$3:$E$65,1)))</f>
        <v>46093.104166666664</v>
      </c>
      <c r="D70" s="1">
        <f>IF($G70="","",INDEX('Passages List'!F$3:F$65,MATCH($G70,'Passages List'!$E$3:$E$65,1)))</f>
        <v>46095.237500000003</v>
      </c>
      <c r="E70" t="str">
        <f>IF($G70="","",INDEX('Passages List'!G$3:G$65,MATCH($G70,'Passages List'!$E$3:$E$65,1)))</f>
        <v>Cargo</v>
      </c>
      <c r="F70" t="s">
        <v>99</v>
      </c>
      <c r="G70" s="1">
        <v>46093.270833333336</v>
      </c>
      <c r="H70" t="s">
        <v>232</v>
      </c>
      <c r="I70" t="s">
        <v>233</v>
      </c>
      <c r="J70" t="s">
        <v>625</v>
      </c>
      <c r="K70" t="s">
        <v>641</v>
      </c>
      <c r="L70" t="s">
        <v>234</v>
      </c>
      <c r="M70">
        <v>29</v>
      </c>
      <c r="N70" t="s">
        <v>17</v>
      </c>
      <c r="O70">
        <v>1.6</v>
      </c>
      <c r="P70" t="s">
        <v>17</v>
      </c>
    </row>
    <row r="71" spans="1:16" x14ac:dyDescent="0.2">
      <c r="A71" t="str">
        <f>IF($G71="","",INDEX('Passages List'!B$3:B$65,MATCH($G71,'Passages List'!$E$3:$E$65,1)))</f>
        <v>Hazira Port (Surat) Hbr (INHZA)</v>
      </c>
      <c r="B71" t="str">
        <f>IF($G71="","",INDEX('Passages List'!C$3:C$65,MATCH($G71,'Passages List'!$E$3:$E$65,1)))</f>
        <v>New Mangalore (INNML)</v>
      </c>
      <c r="C71" s="1">
        <f>IF($G71="","",INDEX('Passages List'!E$3:E$65,MATCH($G71,'Passages List'!$E$3:$E$65,1)))</f>
        <v>46093.104166666664</v>
      </c>
      <c r="D71" s="1">
        <f>IF($G71="","",INDEX('Passages List'!F$3:F$65,MATCH($G71,'Passages List'!$E$3:$E$65,1)))</f>
        <v>46095.237500000003</v>
      </c>
      <c r="E71" t="str">
        <f>IF($G71="","",INDEX('Passages List'!G$3:G$65,MATCH($G71,'Passages List'!$E$3:$E$65,1)))</f>
        <v>Cargo</v>
      </c>
      <c r="F71" t="s">
        <v>99</v>
      </c>
      <c r="G71" s="1">
        <v>46094.270833333336</v>
      </c>
      <c r="H71" t="s">
        <v>235</v>
      </c>
      <c r="I71" t="s">
        <v>236</v>
      </c>
      <c r="J71" t="s">
        <v>625</v>
      </c>
      <c r="K71" t="s">
        <v>641</v>
      </c>
      <c r="L71" t="s">
        <v>102</v>
      </c>
      <c r="M71">
        <v>270</v>
      </c>
      <c r="N71" t="s">
        <v>17</v>
      </c>
      <c r="O71">
        <v>15.1</v>
      </c>
      <c r="P71">
        <v>0.1</v>
      </c>
    </row>
    <row r="72" spans="1:16" x14ac:dyDescent="0.2">
      <c r="A72" t="str">
        <f>IF($G72="","",INDEX('Passages List'!B$3:B$65,MATCH($G72,'Passages List'!$E$3:$E$65,1)))</f>
        <v>Hazira Port (Surat) Hbr (INHZA)</v>
      </c>
      <c r="B72" t="str">
        <f>IF($G72="","",INDEX('Passages List'!C$3:C$65,MATCH($G72,'Passages List'!$E$3:$E$65,1)))</f>
        <v>New Mangalore (INNML)</v>
      </c>
      <c r="C72" s="1">
        <f>IF($G72="","",INDEX('Passages List'!E$3:E$65,MATCH($G72,'Passages List'!$E$3:$E$65,1)))</f>
        <v>46093.104166666664</v>
      </c>
      <c r="D72" s="1">
        <f>IF($G72="","",INDEX('Passages List'!F$3:F$65,MATCH($G72,'Passages List'!$E$3:$E$65,1)))</f>
        <v>46095.237500000003</v>
      </c>
      <c r="E72" t="str">
        <f>IF($G72="","",INDEX('Passages List'!G$3:G$65,MATCH($G72,'Passages List'!$E$3:$E$65,1)))</f>
        <v>Cargo</v>
      </c>
      <c r="F72" t="s">
        <v>99</v>
      </c>
      <c r="G72" s="1">
        <v>46095.0625</v>
      </c>
      <c r="H72" t="s">
        <v>237</v>
      </c>
      <c r="I72" t="s">
        <v>238</v>
      </c>
      <c r="J72" t="s">
        <v>625</v>
      </c>
      <c r="K72" t="s">
        <v>641</v>
      </c>
      <c r="L72" t="s">
        <v>112</v>
      </c>
      <c r="M72">
        <v>207</v>
      </c>
      <c r="N72" t="s">
        <v>17</v>
      </c>
      <c r="O72">
        <v>11.1</v>
      </c>
      <c r="P72">
        <v>0.1</v>
      </c>
    </row>
    <row r="73" spans="1:16" x14ac:dyDescent="0.2">
      <c r="A73" t="str">
        <f>IF($G73="","",INDEX('Passages List'!B$3:B$65,MATCH($G73,'Passages List'!$E$3:$E$65,1)))</f>
        <v/>
      </c>
      <c r="B73" t="str">
        <f>IF($G73="","",INDEX('Passages List'!C$3:C$65,MATCH($G73,'Passages List'!$E$3:$E$65,1)))</f>
        <v>New Mangalore (INNML)</v>
      </c>
      <c r="C73" s="1">
        <f>IF($G73="","",INDEX('Passages List'!E$3:E$65,MATCH($G73,'Passages List'!$E$3:$E$65,1)))</f>
        <v>46095.237500000003</v>
      </c>
      <c r="D73" s="1">
        <f>IF($G73="","",INDEX('Passages List'!F$3:F$65,MATCH($G73,'Passages List'!$E$3:$E$65,1)))</f>
        <v>46101.416666666664</v>
      </c>
      <c r="E73" t="str">
        <f>IF($G73="","",INDEX('Passages List'!G$3:G$65,MATCH($G73,'Passages List'!$E$3:$E$65,1)))</f>
        <v>Cargo operations</v>
      </c>
      <c r="F73" t="s">
        <v>104</v>
      </c>
      <c r="G73" s="1">
        <v>46095.237500000003</v>
      </c>
      <c r="H73" t="s">
        <v>165</v>
      </c>
      <c r="I73" t="s">
        <v>239</v>
      </c>
      <c r="J73" t="s">
        <v>625</v>
      </c>
      <c r="K73" t="s">
        <v>624</v>
      </c>
      <c r="L73" t="s">
        <v>240</v>
      </c>
      <c r="M73">
        <v>18</v>
      </c>
      <c r="N73">
        <v>11928</v>
      </c>
      <c r="O73">
        <v>1</v>
      </c>
      <c r="P73">
        <v>0.1</v>
      </c>
    </row>
    <row r="74" spans="1:16" x14ac:dyDescent="0.2">
      <c r="A74" t="str">
        <f>IF($G74="","",INDEX('Passages List'!B$3:B$65,MATCH($G74,'Passages List'!$E$3:$E$65,1)))</f>
        <v/>
      </c>
      <c r="B74" t="str">
        <f>IF($G74="","",INDEX('Passages List'!C$3:C$65,MATCH($G74,'Passages List'!$E$3:$E$65,1)))</f>
        <v>New Mangalore (INNML)</v>
      </c>
      <c r="C74" s="1">
        <f>IF($G74="","",INDEX('Passages List'!E$3:E$65,MATCH($G74,'Passages List'!$E$3:$E$65,1)))</f>
        <v>46095.237500000003</v>
      </c>
      <c r="D74" s="1">
        <f>IF($G74="","",INDEX('Passages List'!F$3:F$65,MATCH($G74,'Passages List'!$E$3:$E$65,1)))</f>
        <v>46101.416666666664</v>
      </c>
      <c r="E74" t="str">
        <f>IF($G74="","",INDEX('Passages List'!G$3:G$65,MATCH($G74,'Passages List'!$E$3:$E$65,1)))</f>
        <v>Cargo operations</v>
      </c>
      <c r="F74" t="s">
        <v>105</v>
      </c>
      <c r="G74" s="1">
        <v>46095.270833333336</v>
      </c>
      <c r="H74" t="s">
        <v>165</v>
      </c>
      <c r="I74" t="s">
        <v>239</v>
      </c>
      <c r="J74" t="s">
        <v>625</v>
      </c>
      <c r="L74" t="s">
        <v>113</v>
      </c>
      <c r="M74" t="s">
        <v>17</v>
      </c>
      <c r="N74" t="s">
        <v>17</v>
      </c>
      <c r="O74">
        <v>0.1</v>
      </c>
      <c r="P74">
        <v>0.1</v>
      </c>
    </row>
    <row r="75" spans="1:16" x14ac:dyDescent="0.2">
      <c r="A75" t="str">
        <f>IF($G75="","",INDEX('Passages List'!B$3:B$65,MATCH($G75,'Passages List'!$E$3:$E$65,1)))</f>
        <v/>
      </c>
      <c r="B75" t="str">
        <f>IF($G75="","",INDEX('Passages List'!C$3:C$65,MATCH($G75,'Passages List'!$E$3:$E$65,1)))</f>
        <v>New Mangalore (INNML)</v>
      </c>
      <c r="C75" s="1">
        <f>IF($G75="","",INDEX('Passages List'!E$3:E$65,MATCH($G75,'Passages List'!$E$3:$E$65,1)))</f>
        <v>46095.237500000003</v>
      </c>
      <c r="D75" s="1">
        <f>IF($G75="","",INDEX('Passages List'!F$3:F$65,MATCH($G75,'Passages List'!$E$3:$E$65,1)))</f>
        <v>46101.416666666664</v>
      </c>
      <c r="E75" t="str">
        <f>IF($G75="","",INDEX('Passages List'!G$3:G$65,MATCH($G75,'Passages List'!$E$3:$E$65,1)))</f>
        <v>Cargo operations</v>
      </c>
      <c r="F75" t="s">
        <v>106</v>
      </c>
      <c r="G75" s="1">
        <v>46095.9375</v>
      </c>
      <c r="H75" t="s">
        <v>165</v>
      </c>
      <c r="I75" t="s">
        <v>239</v>
      </c>
      <c r="J75" t="s">
        <v>626</v>
      </c>
      <c r="L75" t="s">
        <v>208</v>
      </c>
      <c r="M75" t="s">
        <v>17</v>
      </c>
      <c r="N75">
        <v>9421.7000000000007</v>
      </c>
      <c r="O75">
        <v>1.5</v>
      </c>
      <c r="P75">
        <v>0.8</v>
      </c>
    </row>
    <row r="76" spans="1:16" x14ac:dyDescent="0.2">
      <c r="A76" t="str">
        <f>IF($G76="","",INDEX('Passages List'!B$3:B$65,MATCH($G76,'Passages List'!$E$3:$E$65,1)))</f>
        <v/>
      </c>
      <c r="B76" t="str">
        <f>IF($G76="","",INDEX('Passages List'!C$3:C$65,MATCH($G76,'Passages List'!$E$3:$E$65,1)))</f>
        <v>New Mangalore (INNML)</v>
      </c>
      <c r="C76" s="1">
        <f>IF($G76="","",INDEX('Passages List'!E$3:E$65,MATCH($G76,'Passages List'!$E$3:$E$65,1)))</f>
        <v>46095.237500000003</v>
      </c>
      <c r="D76" s="1">
        <f>IF($G76="","",INDEX('Passages List'!F$3:F$65,MATCH($G76,'Passages List'!$E$3:$E$65,1)))</f>
        <v>46101.416666666664</v>
      </c>
      <c r="E76" t="str">
        <f>IF($G76="","",INDEX('Passages List'!G$3:G$65,MATCH($G76,'Passages List'!$E$3:$E$65,1)))</f>
        <v>Cargo operations</v>
      </c>
      <c r="F76" t="s">
        <v>99</v>
      </c>
      <c r="G76" s="1">
        <v>46096</v>
      </c>
      <c r="H76" t="s">
        <v>241</v>
      </c>
      <c r="I76" t="s">
        <v>242</v>
      </c>
      <c r="J76" t="s">
        <v>626</v>
      </c>
      <c r="K76" t="s">
        <v>623</v>
      </c>
      <c r="L76" t="s">
        <v>156</v>
      </c>
      <c r="M76">
        <v>10</v>
      </c>
      <c r="N76" t="s">
        <v>17</v>
      </c>
      <c r="O76">
        <v>0.8</v>
      </c>
      <c r="P76" t="s">
        <v>17</v>
      </c>
    </row>
    <row r="77" spans="1:16" x14ac:dyDescent="0.2">
      <c r="A77" t="str">
        <f>IF($G77="","",INDEX('Passages List'!B$3:B$65,MATCH($G77,'Passages List'!$E$3:$E$65,1)))</f>
        <v/>
      </c>
      <c r="B77" t="str">
        <f>IF($G77="","",INDEX('Passages List'!C$3:C$65,MATCH($G77,'Passages List'!$E$3:$E$65,1)))</f>
        <v>New Mangalore (INNML)</v>
      </c>
      <c r="C77" s="1">
        <f>IF($G77="","",INDEX('Passages List'!E$3:E$65,MATCH($G77,'Passages List'!$E$3:$E$65,1)))</f>
        <v>46095.237500000003</v>
      </c>
      <c r="D77" s="1">
        <f>IF($G77="","",INDEX('Passages List'!F$3:F$65,MATCH($G77,'Passages List'!$E$3:$E$65,1)))</f>
        <v>46101.416666666664</v>
      </c>
      <c r="E77" t="str">
        <f>IF($G77="","",INDEX('Passages List'!G$3:G$65,MATCH($G77,'Passages List'!$E$3:$E$65,1)))</f>
        <v>Cargo operations</v>
      </c>
      <c r="F77" t="s">
        <v>99</v>
      </c>
      <c r="G77" s="1">
        <v>46096.270833333336</v>
      </c>
      <c r="H77" t="s">
        <v>243</v>
      </c>
      <c r="I77" t="s">
        <v>244</v>
      </c>
      <c r="J77" t="s">
        <v>626</v>
      </c>
      <c r="K77" t="s">
        <v>641</v>
      </c>
      <c r="L77" t="s">
        <v>211</v>
      </c>
      <c r="M77">
        <v>74</v>
      </c>
      <c r="N77" t="s">
        <v>17</v>
      </c>
      <c r="O77">
        <v>3.9</v>
      </c>
      <c r="P77" t="s">
        <v>17</v>
      </c>
    </row>
    <row r="78" spans="1:16" x14ac:dyDescent="0.2">
      <c r="A78" t="str">
        <f>IF($G78="","",INDEX('Passages List'!B$3:B$65,MATCH($G78,'Passages List'!$E$3:$E$65,1)))</f>
        <v/>
      </c>
      <c r="B78" t="str">
        <f>IF($G78="","",INDEX('Passages List'!C$3:C$65,MATCH($G78,'Passages List'!$E$3:$E$65,1)))</f>
        <v>New Mangalore (INNML)</v>
      </c>
      <c r="C78" s="1">
        <f>IF($G78="","",INDEX('Passages List'!E$3:E$65,MATCH($G78,'Passages List'!$E$3:$E$65,1)))</f>
        <v>46095.237500000003</v>
      </c>
      <c r="D78" s="1">
        <f>IF($G78="","",INDEX('Passages List'!F$3:F$65,MATCH($G78,'Passages List'!$E$3:$E$65,1)))</f>
        <v>46101.416666666664</v>
      </c>
      <c r="E78" t="str">
        <f>IF($G78="","",INDEX('Passages List'!G$3:G$65,MATCH($G78,'Passages List'!$E$3:$E$65,1)))</f>
        <v>Cargo operations</v>
      </c>
      <c r="F78" t="s">
        <v>99</v>
      </c>
      <c r="G78" s="1">
        <v>46097.270833333336</v>
      </c>
      <c r="H78" t="s">
        <v>245</v>
      </c>
      <c r="I78" t="s">
        <v>246</v>
      </c>
      <c r="J78" t="s">
        <v>626</v>
      </c>
      <c r="K78" t="s">
        <v>641</v>
      </c>
      <c r="L78" t="s">
        <v>102</v>
      </c>
      <c r="M78">
        <v>265</v>
      </c>
      <c r="N78" t="s">
        <v>17</v>
      </c>
      <c r="O78">
        <v>15.1</v>
      </c>
      <c r="P78" t="s">
        <v>17</v>
      </c>
    </row>
    <row r="79" spans="1:16" x14ac:dyDescent="0.2">
      <c r="A79" t="str">
        <f>IF($G79="","",INDEX('Passages List'!B$3:B$65,MATCH($G79,'Passages List'!$E$3:$E$65,1)))</f>
        <v/>
      </c>
      <c r="B79" t="str">
        <f>IF($G79="","",INDEX('Passages List'!C$3:C$65,MATCH($G79,'Passages List'!$E$3:$E$65,1)))</f>
        <v>New Mangalore (INNML)</v>
      </c>
      <c r="C79" s="1">
        <f>IF($G79="","",INDEX('Passages List'!E$3:E$65,MATCH($G79,'Passages List'!$E$3:$E$65,1)))</f>
        <v>46095.237500000003</v>
      </c>
      <c r="D79" s="1">
        <f>IF($G79="","",INDEX('Passages List'!F$3:F$65,MATCH($G79,'Passages List'!$E$3:$E$65,1)))</f>
        <v>46101.416666666664</v>
      </c>
      <c r="E79" t="str">
        <f>IF($G79="","",INDEX('Passages List'!G$3:G$65,MATCH($G79,'Passages List'!$E$3:$E$65,1)))</f>
        <v>Cargo operations</v>
      </c>
      <c r="F79" t="s">
        <v>99</v>
      </c>
      <c r="G79" s="1">
        <v>46098.270833333336</v>
      </c>
      <c r="H79" t="s">
        <v>247</v>
      </c>
      <c r="I79" t="s">
        <v>248</v>
      </c>
      <c r="J79" t="s">
        <v>626</v>
      </c>
      <c r="K79" t="s">
        <v>641</v>
      </c>
      <c r="L79" t="s">
        <v>102</v>
      </c>
      <c r="M79">
        <v>269</v>
      </c>
      <c r="N79" t="s">
        <v>17</v>
      </c>
      <c r="O79">
        <v>15.1</v>
      </c>
      <c r="P79" t="s">
        <v>17</v>
      </c>
    </row>
    <row r="80" spans="1:16" x14ac:dyDescent="0.2">
      <c r="A80" t="str">
        <f>IF($G80="","",INDEX('Passages List'!B$3:B$65,MATCH($G80,'Passages List'!$E$3:$E$65,1)))</f>
        <v/>
      </c>
      <c r="B80" t="str">
        <f>IF($G80="","",INDEX('Passages List'!C$3:C$65,MATCH($G80,'Passages List'!$E$3:$E$65,1)))</f>
        <v>New Mangalore (INNML)</v>
      </c>
      <c r="C80" s="1">
        <f>IF($G80="","",INDEX('Passages List'!E$3:E$65,MATCH($G80,'Passages List'!$E$3:$E$65,1)))</f>
        <v>46095.237500000003</v>
      </c>
      <c r="D80" s="1">
        <f>IF($G80="","",INDEX('Passages List'!F$3:F$65,MATCH($G80,'Passages List'!$E$3:$E$65,1)))</f>
        <v>46101.416666666664</v>
      </c>
      <c r="E80" t="str">
        <f>IF($G80="","",INDEX('Passages List'!G$3:G$65,MATCH($G80,'Passages List'!$E$3:$E$65,1)))</f>
        <v>Cargo operations</v>
      </c>
      <c r="F80" t="s">
        <v>99</v>
      </c>
      <c r="G80" s="1">
        <v>46099.270833333336</v>
      </c>
      <c r="H80" t="s">
        <v>249</v>
      </c>
      <c r="I80" t="s">
        <v>250</v>
      </c>
      <c r="J80" t="s">
        <v>626</v>
      </c>
      <c r="K80" t="s">
        <v>641</v>
      </c>
      <c r="L80" t="s">
        <v>102</v>
      </c>
      <c r="M80">
        <v>270</v>
      </c>
      <c r="N80" t="s">
        <v>17</v>
      </c>
      <c r="O80">
        <v>15.1</v>
      </c>
      <c r="P80" t="s">
        <v>17</v>
      </c>
    </row>
    <row r="81" spans="1:16" x14ac:dyDescent="0.2">
      <c r="A81" t="str">
        <f>IF($G81="","",INDEX('Passages List'!B$3:B$65,MATCH($G81,'Passages List'!$E$3:$E$65,1)))</f>
        <v/>
      </c>
      <c r="B81" t="str">
        <f>IF($G81="","",INDEX('Passages List'!C$3:C$65,MATCH($G81,'Passages List'!$E$3:$E$65,1)))</f>
        <v>New Mangalore (INNML)</v>
      </c>
      <c r="C81" s="1">
        <f>IF($G81="","",INDEX('Passages List'!E$3:E$65,MATCH($G81,'Passages List'!$E$3:$E$65,1)))</f>
        <v>46095.237500000003</v>
      </c>
      <c r="D81" s="1">
        <f>IF($G81="","",INDEX('Passages List'!F$3:F$65,MATCH($G81,'Passages List'!$E$3:$E$65,1)))</f>
        <v>46101.416666666664</v>
      </c>
      <c r="E81" t="str">
        <f>IF($G81="","",INDEX('Passages List'!G$3:G$65,MATCH($G81,'Passages List'!$E$3:$E$65,1)))</f>
        <v>Cargo operations</v>
      </c>
      <c r="F81" t="s">
        <v>99</v>
      </c>
      <c r="G81" s="1">
        <v>46100.083333333336</v>
      </c>
      <c r="H81" t="s">
        <v>251</v>
      </c>
      <c r="I81" t="s">
        <v>252</v>
      </c>
      <c r="J81" t="s">
        <v>626</v>
      </c>
      <c r="K81" t="s">
        <v>641</v>
      </c>
      <c r="L81" t="s">
        <v>253</v>
      </c>
      <c r="M81">
        <v>235.4</v>
      </c>
      <c r="N81" t="s">
        <v>17</v>
      </c>
      <c r="O81">
        <v>9.4</v>
      </c>
      <c r="P81" t="s">
        <v>17</v>
      </c>
    </row>
    <row r="82" spans="1:16" x14ac:dyDescent="0.2">
      <c r="A82" t="str">
        <f>IF($G82="","",INDEX('Passages List'!B$3:B$65,MATCH($G82,'Passages List'!$E$3:$E$65,1)))</f>
        <v/>
      </c>
      <c r="B82" t="str">
        <f>IF($G82="","",INDEX('Passages List'!C$3:C$65,MATCH($G82,'Passages List'!$E$3:$E$65,1)))</f>
        <v>New Mangalore (INNML)</v>
      </c>
      <c r="C82" s="1">
        <f>IF($G82="","",INDEX('Passages List'!E$3:E$65,MATCH($G82,'Passages List'!$E$3:$E$65,1)))</f>
        <v>46095.237500000003</v>
      </c>
      <c r="D82" s="1">
        <f>IF($G82="","",INDEX('Passages List'!F$3:F$65,MATCH($G82,'Passages List'!$E$3:$E$65,1)))</f>
        <v>46101.416666666664</v>
      </c>
      <c r="E82" t="str">
        <f>IF($G82="","",INDEX('Passages List'!G$3:G$65,MATCH($G82,'Passages List'!$E$3:$E$65,1)))</f>
        <v>Cargo operations</v>
      </c>
      <c r="F82" t="s">
        <v>99</v>
      </c>
      <c r="G82" s="1">
        <v>46100.270833333336</v>
      </c>
      <c r="H82" t="s">
        <v>254</v>
      </c>
      <c r="I82" t="s">
        <v>255</v>
      </c>
      <c r="J82" t="s">
        <v>626</v>
      </c>
      <c r="K82" t="s">
        <v>624</v>
      </c>
      <c r="L82" t="s">
        <v>256</v>
      </c>
      <c r="M82">
        <v>23</v>
      </c>
      <c r="N82" t="s">
        <v>17</v>
      </c>
      <c r="O82">
        <v>0.7</v>
      </c>
      <c r="P82" t="s">
        <v>17</v>
      </c>
    </row>
    <row r="83" spans="1:16" x14ac:dyDescent="0.2">
      <c r="A83" t="str">
        <f>IF($G83="","",INDEX('Passages List'!B$3:B$65,MATCH($G83,'Passages List'!$E$3:$E$65,1)))</f>
        <v/>
      </c>
      <c r="B83" t="str">
        <f>IF($G83="","",INDEX('Passages List'!C$3:C$65,MATCH($G83,'Passages List'!$E$3:$E$65,1)))</f>
        <v>New Mangalore (INNML)</v>
      </c>
      <c r="C83" s="1">
        <f>IF($G83="","",INDEX('Passages List'!E$3:E$65,MATCH($G83,'Passages List'!$E$3:$E$65,1)))</f>
        <v>46095.237500000003</v>
      </c>
      <c r="D83" s="1">
        <f>IF($G83="","",INDEX('Passages List'!F$3:F$65,MATCH($G83,'Passages List'!$E$3:$E$65,1)))</f>
        <v>46101.416666666664</v>
      </c>
      <c r="E83" t="str">
        <f>IF($G83="","",INDEX('Passages List'!G$3:G$65,MATCH($G83,'Passages List'!$E$3:$E$65,1)))</f>
        <v>Cargo operations</v>
      </c>
      <c r="F83" t="s">
        <v>105</v>
      </c>
      <c r="G83" s="1">
        <v>46101.270833333336</v>
      </c>
      <c r="H83" t="s">
        <v>254</v>
      </c>
      <c r="I83" t="s">
        <v>255</v>
      </c>
      <c r="J83" t="s">
        <v>626</v>
      </c>
      <c r="L83" t="s">
        <v>102</v>
      </c>
      <c r="M83" t="s">
        <v>17</v>
      </c>
      <c r="N83" t="s">
        <v>17</v>
      </c>
      <c r="O83">
        <v>2.5</v>
      </c>
      <c r="P83">
        <v>1.1000000000000001</v>
      </c>
    </row>
    <row r="84" spans="1:16" x14ac:dyDescent="0.2">
      <c r="A84" t="str">
        <f>IF($G84="","",INDEX('Passages List'!B$3:B$65,MATCH($G84,'Passages List'!$E$3:$E$65,1)))</f>
        <v>Chennai (ex Madras) (INMAA)</v>
      </c>
      <c r="B84" t="str">
        <f>IF($G84="","",INDEX('Passages List'!C$3:C$65,MATCH($G84,'Passages List'!$E$3:$E$65,1)))</f>
        <v>Hazira Port (Surat) Hbr (INHZA)</v>
      </c>
      <c r="C84" s="1">
        <f>IF($G84="","",INDEX('Passages List'!E$3:E$65,MATCH($G84,'Passages List'!$E$3:$E$65,1)))</f>
        <v>46101.416666666664</v>
      </c>
      <c r="D84" s="1">
        <f>IF($G84="","",INDEX('Passages List'!F$3:F$65,MATCH($G84,'Passages List'!$E$3:$E$65,1)))</f>
        <v>46109.841666666667</v>
      </c>
      <c r="E84" t="str">
        <f>IF($G84="","",INDEX('Passages List'!G$3:G$65,MATCH($G84,'Passages List'!$E$3:$E$65,1)))</f>
        <v>Ballast</v>
      </c>
      <c r="F84" t="s">
        <v>106</v>
      </c>
      <c r="G84" s="1">
        <v>46101.416666666664</v>
      </c>
      <c r="H84" t="s">
        <v>254</v>
      </c>
      <c r="I84" t="s">
        <v>255</v>
      </c>
      <c r="J84" t="s">
        <v>77</v>
      </c>
      <c r="L84" t="s">
        <v>257</v>
      </c>
      <c r="M84" t="s">
        <v>17</v>
      </c>
      <c r="N84" t="s">
        <v>17</v>
      </c>
      <c r="O84">
        <v>0.3</v>
      </c>
      <c r="P84">
        <v>0.2</v>
      </c>
    </row>
    <row r="85" spans="1:16" x14ac:dyDescent="0.2">
      <c r="A85" t="str">
        <f>IF($G85="","",INDEX('Passages List'!B$3:B$65,MATCH($G85,'Passages List'!$E$3:$E$65,1)))</f>
        <v>Chennai (ex Madras) (INMAA)</v>
      </c>
      <c r="B85" t="str">
        <f>IF($G85="","",INDEX('Passages List'!C$3:C$65,MATCH($G85,'Passages List'!$E$3:$E$65,1)))</f>
        <v>Hazira Port (Surat) Hbr (INHZA)</v>
      </c>
      <c r="C85" s="1">
        <f>IF($G85="","",INDEX('Passages List'!E$3:E$65,MATCH($G85,'Passages List'!$E$3:$E$65,1)))</f>
        <v>46101.416666666664</v>
      </c>
      <c r="D85" s="1">
        <f>IF($G85="","",INDEX('Passages List'!F$3:F$65,MATCH($G85,'Passages List'!$E$3:$E$65,1)))</f>
        <v>46109.841666666667</v>
      </c>
      <c r="E85" t="str">
        <f>IF($G85="","",INDEX('Passages List'!G$3:G$65,MATCH($G85,'Passages List'!$E$3:$E$65,1)))</f>
        <v>Ballast</v>
      </c>
      <c r="F85" t="s">
        <v>99</v>
      </c>
      <c r="G85" s="1">
        <v>46101.520833333336</v>
      </c>
      <c r="H85" t="s">
        <v>258</v>
      </c>
      <c r="I85" t="s">
        <v>259</v>
      </c>
      <c r="J85" t="s">
        <v>77</v>
      </c>
      <c r="K85" t="s">
        <v>623</v>
      </c>
      <c r="L85" t="s">
        <v>234</v>
      </c>
      <c r="M85">
        <v>12.7</v>
      </c>
      <c r="N85" t="s">
        <v>17</v>
      </c>
      <c r="O85">
        <v>0.7</v>
      </c>
      <c r="P85" t="s">
        <v>17</v>
      </c>
    </row>
    <row r="86" spans="1:16" x14ac:dyDescent="0.2">
      <c r="A86" t="str">
        <f>IF($G86="","",INDEX('Passages List'!B$3:B$65,MATCH($G86,'Passages List'!$E$3:$E$65,1)))</f>
        <v>Chennai (ex Madras) (INMAA)</v>
      </c>
      <c r="B86" t="str">
        <f>IF($G86="","",INDEX('Passages List'!C$3:C$65,MATCH($G86,'Passages List'!$E$3:$E$65,1)))</f>
        <v>Hazira Port (Surat) Hbr (INHZA)</v>
      </c>
      <c r="C86" s="1">
        <f>IF($G86="","",INDEX('Passages List'!E$3:E$65,MATCH($G86,'Passages List'!$E$3:$E$65,1)))</f>
        <v>46101.416666666664</v>
      </c>
      <c r="D86" s="1">
        <f>IF($G86="","",INDEX('Passages List'!F$3:F$65,MATCH($G86,'Passages List'!$E$3:$E$65,1)))</f>
        <v>46109.841666666667</v>
      </c>
      <c r="E86" t="str">
        <f>IF($G86="","",INDEX('Passages List'!G$3:G$65,MATCH($G86,'Passages List'!$E$3:$E$65,1)))</f>
        <v>Ballast</v>
      </c>
      <c r="F86" t="s">
        <v>99</v>
      </c>
      <c r="G86" s="1">
        <v>46102.270833333336</v>
      </c>
      <c r="H86" t="s">
        <v>260</v>
      </c>
      <c r="I86" t="s">
        <v>261</v>
      </c>
      <c r="J86" t="s">
        <v>77</v>
      </c>
      <c r="K86" t="s">
        <v>641</v>
      </c>
      <c r="L86" t="s">
        <v>204</v>
      </c>
      <c r="M86">
        <v>206</v>
      </c>
      <c r="N86" t="s">
        <v>17</v>
      </c>
      <c r="O86">
        <v>11.6</v>
      </c>
      <c r="P86" t="s">
        <v>17</v>
      </c>
    </row>
    <row r="87" spans="1:16" x14ac:dyDescent="0.2">
      <c r="A87" t="str">
        <f>IF($G87="","",INDEX('Passages List'!B$3:B$65,MATCH($G87,'Passages List'!$E$3:$E$65,1)))</f>
        <v>Chennai (ex Madras) (INMAA)</v>
      </c>
      <c r="B87" t="str">
        <f>IF($G87="","",INDEX('Passages List'!C$3:C$65,MATCH($G87,'Passages List'!$E$3:$E$65,1)))</f>
        <v>Hazira Port (Surat) Hbr (INHZA)</v>
      </c>
      <c r="C87" s="1">
        <f>IF($G87="","",INDEX('Passages List'!E$3:E$65,MATCH($G87,'Passages List'!$E$3:$E$65,1)))</f>
        <v>46101.416666666664</v>
      </c>
      <c r="D87" s="1">
        <f>IF($G87="","",INDEX('Passages List'!F$3:F$65,MATCH($G87,'Passages List'!$E$3:$E$65,1)))</f>
        <v>46109.841666666667</v>
      </c>
      <c r="E87" t="str">
        <f>IF($G87="","",INDEX('Passages List'!G$3:G$65,MATCH($G87,'Passages List'!$E$3:$E$65,1)))</f>
        <v>Ballast</v>
      </c>
      <c r="F87" t="s">
        <v>99</v>
      </c>
      <c r="G87" s="1">
        <v>46103.270833333336</v>
      </c>
      <c r="H87" t="s">
        <v>262</v>
      </c>
      <c r="I87" t="s">
        <v>263</v>
      </c>
      <c r="J87" t="s">
        <v>77</v>
      </c>
      <c r="K87" t="s">
        <v>641</v>
      </c>
      <c r="L87" t="s">
        <v>102</v>
      </c>
      <c r="M87">
        <v>275</v>
      </c>
      <c r="N87" t="s">
        <v>17</v>
      </c>
      <c r="O87">
        <v>15.1</v>
      </c>
      <c r="P87" t="s">
        <v>17</v>
      </c>
    </row>
    <row r="88" spans="1:16" x14ac:dyDescent="0.2">
      <c r="A88" t="str">
        <f>IF($G88="","",INDEX('Passages List'!B$3:B$65,MATCH($G88,'Passages List'!$E$3:$E$65,1)))</f>
        <v>Chennai (ex Madras) (INMAA)</v>
      </c>
      <c r="B88" t="str">
        <f>IF($G88="","",INDEX('Passages List'!C$3:C$65,MATCH($G88,'Passages List'!$E$3:$E$65,1)))</f>
        <v>Hazira Port (Surat) Hbr (INHZA)</v>
      </c>
      <c r="C88" s="1">
        <f>IF($G88="","",INDEX('Passages List'!E$3:E$65,MATCH($G88,'Passages List'!$E$3:$E$65,1)))</f>
        <v>46101.416666666664</v>
      </c>
      <c r="D88" s="1">
        <f>IF($G88="","",INDEX('Passages List'!F$3:F$65,MATCH($G88,'Passages List'!$E$3:$E$65,1)))</f>
        <v>46109.841666666667</v>
      </c>
      <c r="E88" t="str">
        <f>IF($G88="","",INDEX('Passages List'!G$3:G$65,MATCH($G88,'Passages List'!$E$3:$E$65,1)))</f>
        <v>Ballast</v>
      </c>
      <c r="F88" t="s">
        <v>99</v>
      </c>
      <c r="G88" s="1">
        <v>46104.270833333336</v>
      </c>
      <c r="H88" t="s">
        <v>264</v>
      </c>
      <c r="I88" t="s">
        <v>265</v>
      </c>
      <c r="J88" t="s">
        <v>77</v>
      </c>
      <c r="K88" t="s">
        <v>641</v>
      </c>
      <c r="L88" t="s">
        <v>102</v>
      </c>
      <c r="M88">
        <v>287.3</v>
      </c>
      <c r="N88" t="s">
        <v>17</v>
      </c>
      <c r="O88">
        <v>15</v>
      </c>
      <c r="P88" t="s">
        <v>17</v>
      </c>
    </row>
    <row r="89" spans="1:16" x14ac:dyDescent="0.2">
      <c r="A89" t="str">
        <f>IF($G89="","",INDEX('Passages List'!B$3:B$65,MATCH($G89,'Passages List'!$E$3:$E$65,1)))</f>
        <v>Chennai (ex Madras) (INMAA)</v>
      </c>
      <c r="B89" t="str">
        <f>IF($G89="","",INDEX('Passages List'!C$3:C$65,MATCH($G89,'Passages List'!$E$3:$E$65,1)))</f>
        <v>Hazira Port (Surat) Hbr (INHZA)</v>
      </c>
      <c r="C89" s="1">
        <f>IF($G89="","",INDEX('Passages List'!E$3:E$65,MATCH($G89,'Passages List'!$E$3:$E$65,1)))</f>
        <v>46101.416666666664</v>
      </c>
      <c r="D89" s="1">
        <f>IF($G89="","",INDEX('Passages List'!F$3:F$65,MATCH($G89,'Passages List'!$E$3:$E$65,1)))</f>
        <v>46109.841666666667</v>
      </c>
      <c r="E89" t="str">
        <f>IF($G89="","",INDEX('Passages List'!G$3:G$65,MATCH($G89,'Passages List'!$E$3:$E$65,1)))</f>
        <v>Ballast</v>
      </c>
      <c r="F89" t="s">
        <v>99</v>
      </c>
      <c r="G89" s="1">
        <v>46105.270833333336</v>
      </c>
      <c r="H89" t="s">
        <v>266</v>
      </c>
      <c r="I89" t="s">
        <v>267</v>
      </c>
      <c r="J89" t="s">
        <v>77</v>
      </c>
      <c r="K89" t="s">
        <v>641</v>
      </c>
      <c r="L89" t="s">
        <v>102</v>
      </c>
      <c r="M89">
        <v>275</v>
      </c>
      <c r="N89" t="s">
        <v>17</v>
      </c>
      <c r="O89">
        <v>15</v>
      </c>
      <c r="P89" t="s">
        <v>17</v>
      </c>
    </row>
    <row r="90" spans="1:16" x14ac:dyDescent="0.2">
      <c r="A90" t="str">
        <f>IF($G90="","",INDEX('Passages List'!B$3:B$65,MATCH($G90,'Passages List'!$E$3:$E$65,1)))</f>
        <v>Chennai (ex Madras) (INMAA)</v>
      </c>
      <c r="B90" t="str">
        <f>IF($G90="","",INDEX('Passages List'!C$3:C$65,MATCH($G90,'Passages List'!$E$3:$E$65,1)))</f>
        <v>Hazira Port (Surat) Hbr (INHZA)</v>
      </c>
      <c r="C90" s="1">
        <f>IF($G90="","",INDEX('Passages List'!E$3:E$65,MATCH($G90,'Passages List'!$E$3:$E$65,1)))</f>
        <v>46101.416666666664</v>
      </c>
      <c r="D90" s="1">
        <f>IF($G90="","",INDEX('Passages List'!F$3:F$65,MATCH($G90,'Passages List'!$E$3:$E$65,1)))</f>
        <v>46109.841666666667</v>
      </c>
      <c r="E90" t="str">
        <f>IF($G90="","",INDEX('Passages List'!G$3:G$65,MATCH($G90,'Passages List'!$E$3:$E$65,1)))</f>
        <v>Ballast</v>
      </c>
      <c r="F90" t="s">
        <v>99</v>
      </c>
      <c r="G90" s="1">
        <v>46106.270833333336</v>
      </c>
      <c r="H90" t="s">
        <v>268</v>
      </c>
      <c r="I90" t="s">
        <v>269</v>
      </c>
      <c r="J90" t="s">
        <v>77</v>
      </c>
      <c r="K90" t="s">
        <v>641</v>
      </c>
      <c r="L90" t="s">
        <v>102</v>
      </c>
      <c r="M90">
        <v>289</v>
      </c>
      <c r="N90" t="s">
        <v>17</v>
      </c>
      <c r="O90">
        <v>15.1</v>
      </c>
      <c r="P90" t="s">
        <v>17</v>
      </c>
    </row>
    <row r="91" spans="1:16" x14ac:dyDescent="0.2">
      <c r="A91" t="str">
        <f>IF($G91="","",INDEX('Passages List'!B$3:B$65,MATCH($G91,'Passages List'!$E$3:$E$65,1)))</f>
        <v>Chennai (ex Madras) (INMAA)</v>
      </c>
      <c r="B91" t="str">
        <f>IF($G91="","",INDEX('Passages List'!C$3:C$65,MATCH($G91,'Passages List'!$E$3:$E$65,1)))</f>
        <v>Hazira Port (Surat) Hbr (INHZA)</v>
      </c>
      <c r="C91" s="1">
        <f>IF($G91="","",INDEX('Passages List'!E$3:E$65,MATCH($G91,'Passages List'!$E$3:$E$65,1)))</f>
        <v>46101.416666666664</v>
      </c>
      <c r="D91" s="1">
        <f>IF($G91="","",INDEX('Passages List'!F$3:F$65,MATCH($G91,'Passages List'!$E$3:$E$65,1)))</f>
        <v>46109.841666666667</v>
      </c>
      <c r="E91" t="str">
        <f>IF($G91="","",INDEX('Passages List'!G$3:G$65,MATCH($G91,'Passages List'!$E$3:$E$65,1)))</f>
        <v>Ballast</v>
      </c>
      <c r="F91" t="s">
        <v>99</v>
      </c>
      <c r="G91" s="1">
        <v>46107.270833333336</v>
      </c>
      <c r="H91" t="s">
        <v>270</v>
      </c>
      <c r="I91" t="s">
        <v>271</v>
      </c>
      <c r="J91" t="s">
        <v>77</v>
      </c>
      <c r="K91" t="s">
        <v>641</v>
      </c>
      <c r="L91" t="s">
        <v>102</v>
      </c>
      <c r="M91">
        <v>268</v>
      </c>
      <c r="N91" t="s">
        <v>17</v>
      </c>
      <c r="O91">
        <v>15.2</v>
      </c>
      <c r="P91" t="s">
        <v>17</v>
      </c>
    </row>
    <row r="92" spans="1:16" x14ac:dyDescent="0.2">
      <c r="A92" t="str">
        <f>IF($G92="","",INDEX('Passages List'!B$3:B$65,MATCH($G92,'Passages List'!$E$3:$E$65,1)))</f>
        <v>Chennai (ex Madras) (INMAA)</v>
      </c>
      <c r="B92" t="str">
        <f>IF($G92="","",INDEX('Passages List'!C$3:C$65,MATCH($G92,'Passages List'!$E$3:$E$65,1)))</f>
        <v>Hazira Port (Surat) Hbr (INHZA)</v>
      </c>
      <c r="C92" s="1">
        <f>IF($G92="","",INDEX('Passages List'!E$3:E$65,MATCH($G92,'Passages List'!$E$3:$E$65,1)))</f>
        <v>46101.416666666664</v>
      </c>
      <c r="D92" s="1">
        <f>IF($G92="","",INDEX('Passages List'!F$3:F$65,MATCH($G92,'Passages List'!$E$3:$E$65,1)))</f>
        <v>46109.841666666667</v>
      </c>
      <c r="E92" t="str">
        <f>IF($G92="","",INDEX('Passages List'!G$3:G$65,MATCH($G92,'Passages List'!$E$3:$E$65,1)))</f>
        <v>Ballast</v>
      </c>
      <c r="F92" t="s">
        <v>99</v>
      </c>
      <c r="G92" s="1">
        <v>46107.395833333336</v>
      </c>
      <c r="H92" t="s">
        <v>272</v>
      </c>
      <c r="I92" t="s">
        <v>273</v>
      </c>
      <c r="J92" t="s">
        <v>77</v>
      </c>
      <c r="K92" t="s">
        <v>641</v>
      </c>
      <c r="L92" t="s">
        <v>103</v>
      </c>
      <c r="M92">
        <v>29</v>
      </c>
      <c r="N92" t="s">
        <v>17</v>
      </c>
      <c r="O92">
        <v>1.6</v>
      </c>
      <c r="P92" t="s">
        <v>17</v>
      </c>
    </row>
    <row r="93" spans="1:16" x14ac:dyDescent="0.2">
      <c r="A93" t="str">
        <f>IF($G93="","",INDEX('Passages List'!B$3:B$65,MATCH($G93,'Passages List'!$E$3:$E$65,1)))</f>
        <v>Chennai (ex Madras) (INMAA)</v>
      </c>
      <c r="B93" t="str">
        <f>IF($G93="","",INDEX('Passages List'!C$3:C$65,MATCH($G93,'Passages List'!$E$3:$E$65,1)))</f>
        <v>Hazira Port (Surat) Hbr (INHZA)</v>
      </c>
      <c r="C93" s="1">
        <f>IF($G93="","",INDEX('Passages List'!E$3:E$65,MATCH($G93,'Passages List'!$E$3:$E$65,1)))</f>
        <v>46101.416666666664</v>
      </c>
      <c r="D93" s="1">
        <f>IF($G93="","",INDEX('Passages List'!F$3:F$65,MATCH($G93,'Passages List'!$E$3:$E$65,1)))</f>
        <v>46109.841666666667</v>
      </c>
      <c r="E93" t="str">
        <f>IF($G93="","",INDEX('Passages List'!G$3:G$65,MATCH($G93,'Passages List'!$E$3:$E$65,1)))</f>
        <v>Ballast</v>
      </c>
      <c r="F93" t="s">
        <v>99</v>
      </c>
      <c r="G93" s="1">
        <v>46108.270833333336</v>
      </c>
      <c r="H93" t="s">
        <v>274</v>
      </c>
      <c r="I93" t="s">
        <v>275</v>
      </c>
      <c r="J93" t="s">
        <v>77</v>
      </c>
      <c r="K93" t="s">
        <v>624</v>
      </c>
      <c r="L93" t="s">
        <v>276</v>
      </c>
      <c r="M93">
        <v>15</v>
      </c>
      <c r="N93" t="s">
        <v>17</v>
      </c>
      <c r="O93">
        <v>2</v>
      </c>
      <c r="P93">
        <v>0.8</v>
      </c>
    </row>
    <row r="94" spans="1:16" x14ac:dyDescent="0.2">
      <c r="A94" t="str">
        <f>IF($G94="","",INDEX('Passages List'!B$3:B$65,MATCH($G94,'Passages List'!$E$3:$E$65,1)))</f>
        <v>Chennai (ex Madras) (INMAA)</v>
      </c>
      <c r="B94" t="str">
        <f>IF($G94="","",INDEX('Passages List'!C$3:C$65,MATCH($G94,'Passages List'!$E$3:$E$65,1)))</f>
        <v>Hazira Port (Surat) Hbr (INHZA)</v>
      </c>
      <c r="C94" s="1">
        <f>IF($G94="","",INDEX('Passages List'!E$3:E$65,MATCH($G94,'Passages List'!$E$3:$E$65,1)))</f>
        <v>46101.416666666664</v>
      </c>
      <c r="D94" s="1">
        <f>IF($G94="","",INDEX('Passages List'!F$3:F$65,MATCH($G94,'Passages List'!$E$3:$E$65,1)))</f>
        <v>46109.841666666667</v>
      </c>
      <c r="E94" t="str">
        <f>IF($G94="","",INDEX('Passages List'!G$3:G$65,MATCH($G94,'Passages List'!$E$3:$E$65,1)))</f>
        <v>Ballast</v>
      </c>
      <c r="F94" t="s">
        <v>99</v>
      </c>
      <c r="G94" s="1">
        <v>46109.270833333336</v>
      </c>
      <c r="H94" t="s">
        <v>277</v>
      </c>
      <c r="I94" t="s">
        <v>278</v>
      </c>
      <c r="J94" t="s">
        <v>77</v>
      </c>
      <c r="L94" t="s">
        <v>102</v>
      </c>
      <c r="M94" t="s">
        <v>17</v>
      </c>
      <c r="N94" t="s">
        <v>17</v>
      </c>
      <c r="O94">
        <v>1.9</v>
      </c>
      <c r="P94">
        <v>1.1000000000000001</v>
      </c>
    </row>
    <row r="95" spans="1:16" x14ac:dyDescent="0.2">
      <c r="A95" t="str">
        <f>IF($G95="","",INDEX('Passages List'!B$3:B$65,MATCH($G95,'Passages List'!$E$3:$E$65,1)))</f>
        <v/>
      </c>
      <c r="B95" t="str">
        <f>IF($G95="","",INDEX('Passages List'!C$3:C$65,MATCH($G95,'Passages List'!$E$3:$E$65,1)))</f>
        <v>Hazira Port (Surat) Hbr (INHZA)</v>
      </c>
      <c r="C95" s="1">
        <f>IF($G95="","",INDEX('Passages List'!E$3:E$65,MATCH($G95,'Passages List'!$E$3:$E$65,1)))</f>
        <v>46109.841666666667</v>
      </c>
      <c r="D95" s="1">
        <f>IF($G95="","",INDEX('Passages List'!F$3:F$65,MATCH($G95,'Passages List'!$E$3:$E$65,1)))</f>
        <v>46113.354166666664</v>
      </c>
      <c r="E95" t="str">
        <f>IF($G95="","",INDEX('Passages List'!G$3:G$65,MATCH($G95,'Passages List'!$E$3:$E$65,1)))</f>
        <v>Cargo operations</v>
      </c>
      <c r="F95" t="s">
        <v>104</v>
      </c>
      <c r="G95" s="1">
        <v>46109.841666666667</v>
      </c>
      <c r="H95" t="s">
        <v>279</v>
      </c>
      <c r="I95" t="s">
        <v>280</v>
      </c>
      <c r="J95" t="s">
        <v>77</v>
      </c>
      <c r="L95" t="s">
        <v>281</v>
      </c>
      <c r="M95">
        <v>20</v>
      </c>
      <c r="N95" t="s">
        <v>17</v>
      </c>
      <c r="O95">
        <v>1.9</v>
      </c>
      <c r="P95">
        <v>0.5</v>
      </c>
    </row>
    <row r="96" spans="1:16" x14ac:dyDescent="0.2">
      <c r="A96" t="str">
        <f>IF($G96="","",INDEX('Passages List'!B$3:B$65,MATCH($G96,'Passages List'!$E$3:$E$65,1)))</f>
        <v/>
      </c>
      <c r="B96" t="str">
        <f>IF($G96="","",INDEX('Passages List'!C$3:C$65,MATCH($G96,'Passages List'!$E$3:$E$65,1)))</f>
        <v>Hazira Port (Surat) Hbr (INHZA)</v>
      </c>
      <c r="C96" s="1">
        <f>IF($G96="","",INDEX('Passages List'!E$3:E$65,MATCH($G96,'Passages List'!$E$3:$E$65,1)))</f>
        <v>46109.841666666667</v>
      </c>
      <c r="D96" s="1">
        <f>IF($G96="","",INDEX('Passages List'!F$3:F$65,MATCH($G96,'Passages List'!$E$3:$E$65,1)))</f>
        <v>46113.354166666664</v>
      </c>
      <c r="E96" t="str">
        <f>IF($G96="","",INDEX('Passages List'!G$3:G$65,MATCH($G96,'Passages List'!$E$3:$E$65,1)))</f>
        <v>Cargo operations</v>
      </c>
      <c r="F96" t="s">
        <v>105</v>
      </c>
      <c r="G96" s="1">
        <v>46110.270833333336</v>
      </c>
      <c r="H96" t="s">
        <v>279</v>
      </c>
      <c r="I96" t="s">
        <v>280</v>
      </c>
      <c r="J96" t="s">
        <v>77</v>
      </c>
      <c r="L96" t="s">
        <v>282</v>
      </c>
      <c r="M96" t="s">
        <v>17</v>
      </c>
      <c r="N96" t="s">
        <v>17</v>
      </c>
      <c r="O96">
        <v>1.1000000000000001</v>
      </c>
      <c r="P96">
        <v>0.3</v>
      </c>
    </row>
    <row r="97" spans="1:16" x14ac:dyDescent="0.2">
      <c r="A97" t="str">
        <f>IF($G97="","",INDEX('Passages List'!B$3:B$65,MATCH($G97,'Passages List'!$E$3:$E$65,1)))</f>
        <v/>
      </c>
      <c r="B97" t="str">
        <f>IF($G97="","",INDEX('Passages List'!C$3:C$65,MATCH($G97,'Passages List'!$E$3:$E$65,1)))</f>
        <v>Hazira Port (Surat) Hbr (INHZA)</v>
      </c>
      <c r="C97" s="1">
        <f>IF($G97="","",INDEX('Passages List'!E$3:E$65,MATCH($G97,'Passages List'!$E$3:$E$65,1)))</f>
        <v>46109.841666666667</v>
      </c>
      <c r="D97" s="1">
        <f>IF($G97="","",INDEX('Passages List'!F$3:F$65,MATCH($G97,'Passages List'!$E$3:$E$65,1)))</f>
        <v>46113.354166666664</v>
      </c>
      <c r="E97" t="str">
        <f>IF($G97="","",INDEX('Passages List'!G$3:G$65,MATCH($G97,'Passages List'!$E$3:$E$65,1)))</f>
        <v>Cargo operations</v>
      </c>
      <c r="F97" t="s">
        <v>105</v>
      </c>
      <c r="G97" s="1">
        <v>46111.270833333336</v>
      </c>
      <c r="H97" t="s">
        <v>279</v>
      </c>
      <c r="I97" t="s">
        <v>280</v>
      </c>
      <c r="J97" t="s">
        <v>77</v>
      </c>
      <c r="L97" t="s">
        <v>102</v>
      </c>
      <c r="M97" t="s">
        <v>17</v>
      </c>
      <c r="N97" t="s">
        <v>17</v>
      </c>
      <c r="O97">
        <v>2.2000000000000002</v>
      </c>
      <c r="P97">
        <v>0.9</v>
      </c>
    </row>
    <row r="98" spans="1:16" x14ac:dyDescent="0.2">
      <c r="A98" t="str">
        <f>IF($G98="","",INDEX('Passages List'!B$3:B$65,MATCH($G98,'Passages List'!$E$3:$E$65,1)))</f>
        <v/>
      </c>
      <c r="B98" t="str">
        <f>IF($G98="","",INDEX('Passages List'!C$3:C$65,MATCH($G98,'Passages List'!$E$3:$E$65,1)))</f>
        <v>Hazira Port (Surat) Hbr (INHZA)</v>
      </c>
      <c r="C98" s="1">
        <f>IF($G98="","",INDEX('Passages List'!E$3:E$65,MATCH($G98,'Passages List'!$E$3:$E$65,1)))</f>
        <v>46109.841666666667</v>
      </c>
      <c r="D98" s="1">
        <f>IF($G98="","",INDEX('Passages List'!F$3:F$65,MATCH($G98,'Passages List'!$E$3:$E$65,1)))</f>
        <v>46113.354166666664</v>
      </c>
      <c r="E98" t="str">
        <f>IF($G98="","",INDEX('Passages List'!G$3:G$65,MATCH($G98,'Passages List'!$E$3:$E$65,1)))</f>
        <v>Cargo operations</v>
      </c>
      <c r="F98" t="s">
        <v>105</v>
      </c>
      <c r="G98" s="1">
        <v>46112.270833333336</v>
      </c>
      <c r="H98" t="s">
        <v>279</v>
      </c>
      <c r="I98" t="s">
        <v>280</v>
      </c>
      <c r="J98" t="s">
        <v>77</v>
      </c>
      <c r="L98" t="s">
        <v>102</v>
      </c>
      <c r="M98" t="s">
        <v>17</v>
      </c>
      <c r="N98" t="s">
        <v>17</v>
      </c>
      <c r="O98">
        <v>2.5</v>
      </c>
      <c r="P98">
        <v>1.1000000000000001</v>
      </c>
    </row>
    <row r="99" spans="1:16" x14ac:dyDescent="0.2">
      <c r="A99" t="str">
        <f>IF($G99="","",INDEX('Passages List'!B$3:B$65,MATCH($G99,'Passages List'!$E$3:$E$65,1)))</f>
        <v/>
      </c>
      <c r="B99" t="str">
        <f>IF($G99="","",INDEX('Passages List'!C$3:C$65,MATCH($G99,'Passages List'!$E$3:$E$65,1)))</f>
        <v>Hazira Port (Surat) Hbr (INHZA)</v>
      </c>
      <c r="C99" s="1">
        <f>IF($G99="","",INDEX('Passages List'!E$3:E$65,MATCH($G99,'Passages List'!$E$3:$E$65,1)))</f>
        <v>46109.841666666667</v>
      </c>
      <c r="D99" s="1">
        <f>IF($G99="","",INDEX('Passages List'!F$3:F$65,MATCH($G99,'Passages List'!$E$3:$E$65,1)))</f>
        <v>46113.354166666664</v>
      </c>
      <c r="E99" t="str">
        <f>IF($G99="","",INDEX('Passages List'!G$3:G$65,MATCH($G99,'Passages List'!$E$3:$E$65,1)))</f>
        <v>Cargo operations</v>
      </c>
      <c r="F99" t="s">
        <v>105</v>
      </c>
      <c r="G99" s="1">
        <v>46113.270833333336</v>
      </c>
      <c r="H99" t="s">
        <v>279</v>
      </c>
      <c r="I99" t="s">
        <v>280</v>
      </c>
      <c r="J99" t="s">
        <v>77</v>
      </c>
      <c r="L99" t="s">
        <v>102</v>
      </c>
      <c r="M99" t="s">
        <v>17</v>
      </c>
      <c r="N99" t="s">
        <v>17</v>
      </c>
      <c r="O99">
        <v>2.6</v>
      </c>
      <c r="P99">
        <v>1</v>
      </c>
    </row>
    <row r="100" spans="1:16" x14ac:dyDescent="0.2">
      <c r="A100" t="str">
        <f>IF($G100="","",INDEX('Passages List'!B$3:B$65,MATCH($G100,'Passages List'!$E$3:$E$65,1)))</f>
        <v>Hazira Port (Surat) Hbr (INHZA)</v>
      </c>
      <c r="B100" t="str">
        <f>IF($G100="","",INDEX('Passages List'!C$3:C$65,MATCH($G100,'Passages List'!$E$3:$E$65,1)))</f>
        <v>Pir Pau (INBOM)</v>
      </c>
      <c r="C100" s="1">
        <f>IF($G100="","",INDEX('Passages List'!E$3:E$65,MATCH($G100,'Passages List'!$E$3:$E$65,1)))</f>
        <v>46113.354166666664</v>
      </c>
      <c r="D100" s="1">
        <f>IF($G100="","",INDEX('Passages List'!F$3:F$65,MATCH($G100,'Passages List'!$E$3:$E$65,1)))</f>
        <v>46120.908333333333</v>
      </c>
      <c r="E100" t="str">
        <f>IF($G100="","",INDEX('Passages List'!G$3:G$65,MATCH($G100,'Passages List'!$E$3:$E$65,1)))</f>
        <v>Cargo</v>
      </c>
      <c r="F100" t="s">
        <v>106</v>
      </c>
      <c r="G100" s="1">
        <v>46113.354166666664</v>
      </c>
      <c r="H100" t="s">
        <v>279</v>
      </c>
      <c r="I100" t="s">
        <v>280</v>
      </c>
      <c r="J100" t="s">
        <v>628</v>
      </c>
      <c r="L100" t="s">
        <v>120</v>
      </c>
      <c r="M100" t="s">
        <v>17</v>
      </c>
      <c r="N100">
        <v>13999.6</v>
      </c>
      <c r="O100">
        <v>0.2</v>
      </c>
      <c r="P100">
        <v>0.1</v>
      </c>
    </row>
    <row r="101" spans="1:16" x14ac:dyDescent="0.2">
      <c r="A101" t="str">
        <f>IF($G101="","",INDEX('Passages List'!B$3:B$65,MATCH($G101,'Passages List'!$E$3:$E$65,1)))</f>
        <v>Hazira Port (Surat) Hbr (INHZA)</v>
      </c>
      <c r="B101" t="str">
        <f>IF($G101="","",INDEX('Passages List'!C$3:C$65,MATCH($G101,'Passages List'!$E$3:$E$65,1)))</f>
        <v>Pir Pau (INBOM)</v>
      </c>
      <c r="C101" s="1">
        <f>IF($G101="","",INDEX('Passages List'!E$3:E$65,MATCH($G101,'Passages List'!$E$3:$E$65,1)))</f>
        <v>46113.354166666664</v>
      </c>
      <c r="D101" s="1">
        <f>IF($G101="","",INDEX('Passages List'!F$3:F$65,MATCH($G101,'Passages List'!$E$3:$E$65,1)))</f>
        <v>46120.908333333333</v>
      </c>
      <c r="E101" t="str">
        <f>IF($G101="","",INDEX('Passages List'!G$3:G$65,MATCH($G101,'Passages List'!$E$3:$E$65,1)))</f>
        <v>Cargo</v>
      </c>
      <c r="F101" t="s">
        <v>99</v>
      </c>
      <c r="G101" s="1">
        <v>46113.4375</v>
      </c>
      <c r="H101" t="s">
        <v>283</v>
      </c>
      <c r="I101" t="s">
        <v>284</v>
      </c>
      <c r="J101" t="s">
        <v>628</v>
      </c>
      <c r="K101" t="s">
        <v>623</v>
      </c>
      <c r="L101" t="s">
        <v>120</v>
      </c>
      <c r="M101">
        <v>15</v>
      </c>
      <c r="N101" t="s">
        <v>17</v>
      </c>
      <c r="O101">
        <v>1.3</v>
      </c>
      <c r="P101" t="s">
        <v>17</v>
      </c>
    </row>
    <row r="102" spans="1:16" x14ac:dyDescent="0.2">
      <c r="A102" t="str">
        <f>IF($G102="","",INDEX('Passages List'!B$3:B$65,MATCH($G102,'Passages List'!$E$3:$E$65,1)))</f>
        <v>Hazira Port (Surat) Hbr (INHZA)</v>
      </c>
      <c r="B102" t="str">
        <f>IF($G102="","",INDEX('Passages List'!C$3:C$65,MATCH($G102,'Passages List'!$E$3:$E$65,1)))</f>
        <v>Pir Pau (INBOM)</v>
      </c>
      <c r="C102" s="1">
        <f>IF($G102="","",INDEX('Passages List'!E$3:E$65,MATCH($G102,'Passages List'!$E$3:$E$65,1)))</f>
        <v>46113.354166666664</v>
      </c>
      <c r="D102" s="1">
        <f>IF($G102="","",INDEX('Passages List'!F$3:F$65,MATCH($G102,'Passages List'!$E$3:$E$65,1)))</f>
        <v>46120.908333333333</v>
      </c>
      <c r="E102" t="str">
        <f>IF($G102="","",INDEX('Passages List'!G$3:G$65,MATCH($G102,'Passages List'!$E$3:$E$65,1)))</f>
        <v>Cargo</v>
      </c>
      <c r="F102" t="s">
        <v>99</v>
      </c>
      <c r="G102" s="1">
        <v>46113.854166666664</v>
      </c>
      <c r="H102" t="s">
        <v>285</v>
      </c>
      <c r="I102" t="s">
        <v>286</v>
      </c>
      <c r="J102" t="s">
        <v>628</v>
      </c>
      <c r="K102" t="s">
        <v>641</v>
      </c>
      <c r="L102" t="s">
        <v>287</v>
      </c>
      <c r="M102">
        <v>117</v>
      </c>
      <c r="N102" t="s">
        <v>17</v>
      </c>
      <c r="O102">
        <v>6.9</v>
      </c>
      <c r="P102" t="s">
        <v>17</v>
      </c>
    </row>
    <row r="103" spans="1:16" x14ac:dyDescent="0.2">
      <c r="A103" t="str">
        <f>IF($G103="","",INDEX('Passages List'!B$3:B$65,MATCH($G103,'Passages List'!$E$3:$E$65,1)))</f>
        <v>Hazira Port (Surat) Hbr (INHZA)</v>
      </c>
      <c r="B103" t="str">
        <f>IF($G103="","",INDEX('Passages List'!C$3:C$65,MATCH($G103,'Passages List'!$E$3:$E$65,1)))</f>
        <v>Pir Pau (INBOM)</v>
      </c>
      <c r="C103" s="1">
        <f>IF($G103="","",INDEX('Passages List'!E$3:E$65,MATCH($G103,'Passages List'!$E$3:$E$65,1)))</f>
        <v>46113.354166666664</v>
      </c>
      <c r="D103" s="1">
        <f>IF($G103="","",INDEX('Passages List'!F$3:F$65,MATCH($G103,'Passages List'!$E$3:$E$65,1)))</f>
        <v>46120.908333333333</v>
      </c>
      <c r="E103" t="str">
        <f>IF($G103="","",INDEX('Passages List'!G$3:G$65,MATCH($G103,'Passages List'!$E$3:$E$65,1)))</f>
        <v>Cargo</v>
      </c>
      <c r="F103" t="s">
        <v>99</v>
      </c>
      <c r="G103" s="1">
        <v>46114.270833333336</v>
      </c>
      <c r="H103" t="s">
        <v>288</v>
      </c>
      <c r="I103" t="s">
        <v>289</v>
      </c>
      <c r="J103" t="s">
        <v>628</v>
      </c>
      <c r="K103" t="s">
        <v>624</v>
      </c>
      <c r="L103" t="s">
        <v>287</v>
      </c>
      <c r="M103">
        <v>17</v>
      </c>
      <c r="N103" t="s">
        <v>17</v>
      </c>
      <c r="O103">
        <v>1.9</v>
      </c>
      <c r="P103">
        <v>0.4</v>
      </c>
    </row>
    <row r="104" spans="1:16" x14ac:dyDescent="0.2">
      <c r="A104" t="str">
        <f>IF($G104="","",INDEX('Passages List'!B$3:B$65,MATCH($G104,'Passages List'!$E$3:$E$65,1)))</f>
        <v>Hazira Port (Surat) Hbr (INHZA)</v>
      </c>
      <c r="B104" t="str">
        <f>IF($G104="","",INDEX('Passages List'!C$3:C$65,MATCH($G104,'Passages List'!$E$3:$E$65,1)))</f>
        <v>Pir Pau (INBOM)</v>
      </c>
      <c r="C104" s="1">
        <f>IF($G104="","",INDEX('Passages List'!E$3:E$65,MATCH($G104,'Passages List'!$E$3:$E$65,1)))</f>
        <v>46113.354166666664</v>
      </c>
      <c r="D104" s="1">
        <f>IF($G104="","",INDEX('Passages List'!F$3:F$65,MATCH($G104,'Passages List'!$E$3:$E$65,1)))</f>
        <v>46120.908333333333</v>
      </c>
      <c r="E104" t="str">
        <f>IF($G104="","",INDEX('Passages List'!G$3:G$65,MATCH($G104,'Passages List'!$E$3:$E$65,1)))</f>
        <v>Cargo</v>
      </c>
      <c r="F104" t="s">
        <v>99</v>
      </c>
      <c r="G104" s="1">
        <v>46115.270833333336</v>
      </c>
      <c r="H104" t="s">
        <v>290</v>
      </c>
      <c r="I104" t="s">
        <v>289</v>
      </c>
      <c r="J104" t="s">
        <v>628</v>
      </c>
      <c r="L104" t="s">
        <v>102</v>
      </c>
      <c r="M104" t="s">
        <v>17</v>
      </c>
      <c r="N104" t="s">
        <v>17</v>
      </c>
      <c r="O104">
        <v>1.9</v>
      </c>
      <c r="P104">
        <v>1</v>
      </c>
    </row>
    <row r="105" spans="1:16" x14ac:dyDescent="0.2">
      <c r="A105" t="str">
        <f>IF($G105="","",INDEX('Passages List'!B$3:B$65,MATCH($G105,'Passages List'!$E$3:$E$65,1)))</f>
        <v>Hazira Port (Surat) Hbr (INHZA)</v>
      </c>
      <c r="B105" t="str">
        <f>IF($G105="","",INDEX('Passages List'!C$3:C$65,MATCH($G105,'Passages List'!$E$3:$E$65,1)))</f>
        <v>Pir Pau (INBOM)</v>
      </c>
      <c r="C105" s="1">
        <f>IF($G105="","",INDEX('Passages List'!E$3:E$65,MATCH($G105,'Passages List'!$E$3:$E$65,1)))</f>
        <v>46113.354166666664</v>
      </c>
      <c r="D105" s="1">
        <f>IF($G105="","",INDEX('Passages List'!F$3:F$65,MATCH($G105,'Passages List'!$E$3:$E$65,1)))</f>
        <v>46120.908333333333</v>
      </c>
      <c r="E105" t="str">
        <f>IF($G105="","",INDEX('Passages List'!G$3:G$65,MATCH($G105,'Passages List'!$E$3:$E$65,1)))</f>
        <v>Cargo</v>
      </c>
      <c r="F105" t="s">
        <v>99</v>
      </c>
      <c r="G105" s="1">
        <v>46116.270833333336</v>
      </c>
      <c r="H105" t="s">
        <v>288</v>
      </c>
      <c r="I105" t="s">
        <v>289</v>
      </c>
      <c r="J105" t="s">
        <v>628</v>
      </c>
      <c r="L105" t="s">
        <v>102</v>
      </c>
      <c r="M105" t="s">
        <v>17</v>
      </c>
      <c r="N105" t="s">
        <v>17</v>
      </c>
      <c r="O105">
        <v>1.9</v>
      </c>
      <c r="P105">
        <v>1</v>
      </c>
    </row>
    <row r="106" spans="1:16" x14ac:dyDescent="0.2">
      <c r="A106" t="str">
        <f>IF($G106="","",INDEX('Passages List'!B$3:B$65,MATCH($G106,'Passages List'!$E$3:$E$65,1)))</f>
        <v>Hazira Port (Surat) Hbr (INHZA)</v>
      </c>
      <c r="B106" t="str">
        <f>IF($G106="","",INDEX('Passages List'!C$3:C$65,MATCH($G106,'Passages List'!$E$3:$E$65,1)))</f>
        <v>Pir Pau (INBOM)</v>
      </c>
      <c r="C106" s="1">
        <f>IF($G106="","",INDEX('Passages List'!E$3:E$65,MATCH($G106,'Passages List'!$E$3:$E$65,1)))</f>
        <v>46113.354166666664</v>
      </c>
      <c r="D106" s="1">
        <f>IF($G106="","",INDEX('Passages List'!F$3:F$65,MATCH($G106,'Passages List'!$E$3:$E$65,1)))</f>
        <v>46120.908333333333</v>
      </c>
      <c r="E106" t="str">
        <f>IF($G106="","",INDEX('Passages List'!G$3:G$65,MATCH($G106,'Passages List'!$E$3:$E$65,1)))</f>
        <v>Cargo</v>
      </c>
      <c r="F106" t="s">
        <v>99</v>
      </c>
      <c r="G106" s="1">
        <v>46117.270833333336</v>
      </c>
      <c r="H106" t="s">
        <v>288</v>
      </c>
      <c r="I106" t="s">
        <v>289</v>
      </c>
      <c r="J106" t="s">
        <v>628</v>
      </c>
      <c r="L106" t="s">
        <v>102</v>
      </c>
      <c r="M106" t="s">
        <v>17</v>
      </c>
      <c r="N106" t="s">
        <v>17</v>
      </c>
      <c r="O106">
        <v>1.9</v>
      </c>
      <c r="P106">
        <v>1</v>
      </c>
    </row>
    <row r="107" spans="1:16" x14ac:dyDescent="0.2">
      <c r="A107" t="str">
        <f>IF($G107="","",INDEX('Passages List'!B$3:B$65,MATCH($G107,'Passages List'!$E$3:$E$65,1)))</f>
        <v>Hazira Port (Surat) Hbr (INHZA)</v>
      </c>
      <c r="B107" t="str">
        <f>IF($G107="","",INDEX('Passages List'!C$3:C$65,MATCH($G107,'Passages List'!$E$3:$E$65,1)))</f>
        <v>Pir Pau (INBOM)</v>
      </c>
      <c r="C107" s="1">
        <f>IF($G107="","",INDEX('Passages List'!E$3:E$65,MATCH($G107,'Passages List'!$E$3:$E$65,1)))</f>
        <v>46113.354166666664</v>
      </c>
      <c r="D107" s="1">
        <f>IF($G107="","",INDEX('Passages List'!F$3:F$65,MATCH($G107,'Passages List'!$E$3:$E$65,1)))</f>
        <v>46120.908333333333</v>
      </c>
      <c r="E107" t="str">
        <f>IF($G107="","",INDEX('Passages List'!G$3:G$65,MATCH($G107,'Passages List'!$E$3:$E$65,1)))</f>
        <v>Cargo</v>
      </c>
      <c r="F107" t="s">
        <v>99</v>
      </c>
      <c r="G107" s="1">
        <v>46118.270833333336</v>
      </c>
      <c r="H107" t="s">
        <v>291</v>
      </c>
      <c r="I107" t="s">
        <v>292</v>
      </c>
      <c r="J107" t="s">
        <v>628</v>
      </c>
      <c r="L107" t="s">
        <v>102</v>
      </c>
      <c r="M107" t="s">
        <v>17</v>
      </c>
      <c r="N107" t="s">
        <v>17</v>
      </c>
      <c r="O107">
        <v>1.9</v>
      </c>
      <c r="P107">
        <v>1</v>
      </c>
    </row>
    <row r="108" spans="1:16" x14ac:dyDescent="0.2">
      <c r="A108" t="str">
        <f>IF($G108="","",INDEX('Passages List'!B$3:B$65,MATCH($G108,'Passages List'!$E$3:$E$65,1)))</f>
        <v>Hazira Port (Surat) Hbr (INHZA)</v>
      </c>
      <c r="B108" t="str">
        <f>IF($G108="","",INDEX('Passages List'!C$3:C$65,MATCH($G108,'Passages List'!$E$3:$E$65,1)))</f>
        <v>Pir Pau (INBOM)</v>
      </c>
      <c r="C108" s="1">
        <f>IF($G108="","",INDEX('Passages List'!E$3:E$65,MATCH($G108,'Passages List'!$E$3:$E$65,1)))</f>
        <v>46113.354166666664</v>
      </c>
      <c r="D108" s="1">
        <f>IF($G108="","",INDEX('Passages List'!F$3:F$65,MATCH($G108,'Passages List'!$E$3:$E$65,1)))</f>
        <v>46120.908333333333</v>
      </c>
      <c r="E108" t="str">
        <f>IF($G108="","",INDEX('Passages List'!G$3:G$65,MATCH($G108,'Passages List'!$E$3:$E$65,1)))</f>
        <v>Cargo</v>
      </c>
      <c r="F108" t="s">
        <v>99</v>
      </c>
      <c r="G108" s="1">
        <v>46119.270833333336</v>
      </c>
      <c r="H108" t="s">
        <v>288</v>
      </c>
      <c r="I108" t="s">
        <v>289</v>
      </c>
      <c r="J108" t="s">
        <v>628</v>
      </c>
      <c r="L108" t="s">
        <v>102</v>
      </c>
      <c r="M108">
        <v>17.5</v>
      </c>
      <c r="N108" t="s">
        <v>17</v>
      </c>
      <c r="O108">
        <v>1.9</v>
      </c>
      <c r="P108">
        <v>1</v>
      </c>
    </row>
    <row r="109" spans="1:16" x14ac:dyDescent="0.2">
      <c r="A109" t="str">
        <f>IF($G109="","",INDEX('Passages List'!B$3:B$65,MATCH($G109,'Passages List'!$E$3:$E$65,1)))</f>
        <v>Hazira Port (Surat) Hbr (INHZA)</v>
      </c>
      <c r="B109" t="str">
        <f>IF($G109="","",INDEX('Passages List'!C$3:C$65,MATCH($G109,'Passages List'!$E$3:$E$65,1)))</f>
        <v>Pir Pau (INBOM)</v>
      </c>
      <c r="C109" s="1">
        <f>IF($G109="","",INDEX('Passages List'!E$3:E$65,MATCH($G109,'Passages List'!$E$3:$E$65,1)))</f>
        <v>46113.354166666664</v>
      </c>
      <c r="D109" s="1">
        <f>IF($G109="","",INDEX('Passages List'!F$3:F$65,MATCH($G109,'Passages List'!$E$3:$E$65,1)))</f>
        <v>46120.908333333333</v>
      </c>
      <c r="E109" t="str">
        <f>IF($G109="","",INDEX('Passages List'!G$3:G$65,MATCH($G109,'Passages List'!$E$3:$E$65,1)))</f>
        <v>Cargo</v>
      </c>
      <c r="F109" t="s">
        <v>99</v>
      </c>
      <c r="G109" s="1">
        <v>46120.270833333336</v>
      </c>
      <c r="H109" t="s">
        <v>293</v>
      </c>
      <c r="I109" t="s">
        <v>294</v>
      </c>
      <c r="J109" t="s">
        <v>628</v>
      </c>
      <c r="L109" t="s">
        <v>102</v>
      </c>
      <c r="M109">
        <v>4</v>
      </c>
      <c r="N109" t="s">
        <v>17</v>
      </c>
      <c r="O109">
        <v>2.2000000000000002</v>
      </c>
      <c r="P109">
        <v>0.9</v>
      </c>
    </row>
    <row r="110" spans="1:16" x14ac:dyDescent="0.2">
      <c r="A110" t="str">
        <f>IF($G110="","",INDEX('Passages List'!B$3:B$65,MATCH($G110,'Passages List'!$E$3:$E$65,1)))</f>
        <v/>
      </c>
      <c r="B110" t="str">
        <f>IF($G110="","",INDEX('Passages List'!C$3:C$65,MATCH($G110,'Passages List'!$E$3:$E$65,1)))</f>
        <v>Pir Pau (INBOM)</v>
      </c>
      <c r="C110" s="1">
        <f>IF($G110="","",INDEX('Passages List'!E$3:E$65,MATCH($G110,'Passages List'!$E$3:$E$65,1)))</f>
        <v>46120.908333333333</v>
      </c>
      <c r="D110" s="1">
        <f>IF($G110="","",INDEX('Passages List'!F$3:F$65,MATCH($G110,'Passages List'!$E$3:$E$65,1)))</f>
        <v>46121.320833333331</v>
      </c>
      <c r="E110" t="str">
        <f>IF($G110="","",INDEX('Passages List'!G$3:G$65,MATCH($G110,'Passages List'!$E$3:$E$65,1)))</f>
        <v>Cargo operations</v>
      </c>
      <c r="F110" t="s">
        <v>104</v>
      </c>
      <c r="G110" s="1">
        <v>46120.908333333333</v>
      </c>
      <c r="H110" t="s">
        <v>295</v>
      </c>
      <c r="I110" t="s">
        <v>296</v>
      </c>
      <c r="J110" t="s">
        <v>628</v>
      </c>
      <c r="L110" t="s">
        <v>115</v>
      </c>
      <c r="M110">
        <v>23.7</v>
      </c>
      <c r="N110">
        <v>13999.6</v>
      </c>
      <c r="O110">
        <v>1.8</v>
      </c>
      <c r="P110">
        <v>0.1</v>
      </c>
    </row>
    <row r="111" spans="1:16" x14ac:dyDescent="0.2">
      <c r="A111" t="str">
        <f>IF($G111="","",INDEX('Passages List'!B$3:B$65,MATCH($G111,'Passages List'!$E$3:$E$65,1)))</f>
        <v>Pir Pau (INBOM)</v>
      </c>
      <c r="B111" t="str">
        <f>IF($G111="","",INDEX('Passages List'!C$3:C$65,MATCH($G111,'Passages List'!$E$3:$E$65,1)))</f>
        <v>New Mangalore (INNML)</v>
      </c>
      <c r="C111" s="1">
        <f>IF($G111="","",INDEX('Passages List'!E$3:E$65,MATCH($G111,'Passages List'!$E$3:$E$65,1)))</f>
        <v>46121.320833333331</v>
      </c>
      <c r="D111" s="1">
        <f>IF($G111="","",INDEX('Passages List'!F$3:F$65,MATCH($G111,'Passages List'!$E$3:$E$65,1)))</f>
        <v>46123.008333333331</v>
      </c>
      <c r="E111" t="str">
        <f>IF($G111="","",INDEX('Passages List'!G$3:G$65,MATCH($G111,'Passages List'!$E$3:$E$65,1)))</f>
        <v>Cargo</v>
      </c>
      <c r="F111" t="s">
        <v>106</v>
      </c>
      <c r="G111" s="1">
        <v>46121.320833333331</v>
      </c>
      <c r="H111" t="s">
        <v>295</v>
      </c>
      <c r="I111" t="s">
        <v>296</v>
      </c>
      <c r="J111" t="s">
        <v>627</v>
      </c>
      <c r="L111" t="s">
        <v>297</v>
      </c>
      <c r="M111" t="s">
        <v>17</v>
      </c>
      <c r="N111">
        <v>11307.4</v>
      </c>
      <c r="O111">
        <v>0.9</v>
      </c>
      <c r="P111">
        <v>0.4</v>
      </c>
    </row>
    <row r="112" spans="1:16" x14ac:dyDescent="0.2">
      <c r="A112" t="str">
        <f>IF($G112="","",INDEX('Passages List'!B$3:B$65,MATCH($G112,'Passages List'!$E$3:$E$65,1)))</f>
        <v>Pir Pau (INBOM)</v>
      </c>
      <c r="B112" t="str">
        <f>IF($G112="","",INDEX('Passages List'!C$3:C$65,MATCH($G112,'Passages List'!$E$3:$E$65,1)))</f>
        <v>New Mangalore (INNML)</v>
      </c>
      <c r="C112" s="1">
        <f>IF($G112="","",INDEX('Passages List'!E$3:E$65,MATCH($G112,'Passages List'!$E$3:$E$65,1)))</f>
        <v>46121.320833333331</v>
      </c>
      <c r="D112" s="1">
        <f>IF($G112="","",INDEX('Passages List'!F$3:F$65,MATCH($G112,'Passages List'!$E$3:$E$65,1)))</f>
        <v>46123.008333333331</v>
      </c>
      <c r="E112" t="str">
        <f>IF($G112="","",INDEX('Passages List'!G$3:G$65,MATCH($G112,'Passages List'!$E$3:$E$65,1)))</f>
        <v>Cargo</v>
      </c>
      <c r="F112" t="s">
        <v>99</v>
      </c>
      <c r="G112" s="1">
        <v>46121.441666666666</v>
      </c>
      <c r="H112" t="s">
        <v>298</v>
      </c>
      <c r="I112" t="s">
        <v>299</v>
      </c>
      <c r="J112" t="s">
        <v>627</v>
      </c>
      <c r="K112" t="s">
        <v>623</v>
      </c>
      <c r="L112" t="s">
        <v>300</v>
      </c>
      <c r="M112">
        <v>26.7</v>
      </c>
      <c r="N112" t="s">
        <v>17</v>
      </c>
      <c r="O112">
        <v>2.2000000000000002</v>
      </c>
      <c r="P112" t="s">
        <v>17</v>
      </c>
    </row>
    <row r="113" spans="1:16" x14ac:dyDescent="0.2">
      <c r="A113" t="str">
        <f>IF($G113="","",INDEX('Passages List'!B$3:B$65,MATCH($G113,'Passages List'!$E$3:$E$65,1)))</f>
        <v>Pir Pau (INBOM)</v>
      </c>
      <c r="B113" t="str">
        <f>IF($G113="","",INDEX('Passages List'!C$3:C$65,MATCH($G113,'Passages List'!$E$3:$E$65,1)))</f>
        <v>New Mangalore (INNML)</v>
      </c>
      <c r="C113" s="1">
        <f>IF($G113="","",INDEX('Passages List'!E$3:E$65,MATCH($G113,'Passages List'!$E$3:$E$65,1)))</f>
        <v>46121.320833333331</v>
      </c>
      <c r="D113" s="1">
        <f>IF($G113="","",INDEX('Passages List'!F$3:F$65,MATCH($G113,'Passages List'!$E$3:$E$65,1)))</f>
        <v>46123.008333333331</v>
      </c>
      <c r="E113" t="str">
        <f>IF($G113="","",INDEX('Passages List'!G$3:G$65,MATCH($G113,'Passages List'!$E$3:$E$65,1)))</f>
        <v>Cargo</v>
      </c>
      <c r="F113" t="s">
        <v>99</v>
      </c>
      <c r="G113" s="1">
        <v>46121.729166666664</v>
      </c>
      <c r="H113" t="s">
        <v>301</v>
      </c>
      <c r="I113" t="s">
        <v>302</v>
      </c>
      <c r="J113" t="s">
        <v>627</v>
      </c>
      <c r="K113" t="s">
        <v>641</v>
      </c>
      <c r="L113" t="s">
        <v>187</v>
      </c>
      <c r="M113">
        <v>76.3</v>
      </c>
      <c r="N113" t="s">
        <v>17</v>
      </c>
      <c r="O113">
        <v>5.0999999999999996</v>
      </c>
      <c r="P113" t="s">
        <v>17</v>
      </c>
    </row>
    <row r="114" spans="1:16" x14ac:dyDescent="0.2">
      <c r="A114" t="str">
        <f>IF($G114="","",INDEX('Passages List'!B$3:B$65,MATCH($G114,'Passages List'!$E$3:$E$65,1)))</f>
        <v>Pir Pau (INBOM)</v>
      </c>
      <c r="B114" t="str">
        <f>IF($G114="","",INDEX('Passages List'!C$3:C$65,MATCH($G114,'Passages List'!$E$3:$E$65,1)))</f>
        <v>New Mangalore (INNML)</v>
      </c>
      <c r="C114" s="1">
        <f>IF($G114="","",INDEX('Passages List'!E$3:E$65,MATCH($G114,'Passages List'!$E$3:$E$65,1)))</f>
        <v>46121.320833333331</v>
      </c>
      <c r="D114" s="1">
        <f>IF($G114="","",INDEX('Passages List'!F$3:F$65,MATCH($G114,'Passages List'!$E$3:$E$65,1)))</f>
        <v>46123.008333333331</v>
      </c>
      <c r="E114" t="str">
        <f>IF($G114="","",INDEX('Passages List'!G$3:G$65,MATCH($G114,'Passages List'!$E$3:$E$65,1)))</f>
        <v>Cargo</v>
      </c>
      <c r="F114" t="s">
        <v>99</v>
      </c>
      <c r="G114" s="1">
        <v>46122.729166666664</v>
      </c>
      <c r="H114" t="s">
        <v>303</v>
      </c>
      <c r="I114" t="s">
        <v>304</v>
      </c>
      <c r="J114" t="s">
        <v>627</v>
      </c>
      <c r="K114" t="s">
        <v>641</v>
      </c>
      <c r="L114" t="s">
        <v>102</v>
      </c>
      <c r="M114">
        <v>273.60000000000002</v>
      </c>
      <c r="N114" t="s">
        <v>17</v>
      </c>
      <c r="O114">
        <v>15.7</v>
      </c>
      <c r="P114" t="s">
        <v>17</v>
      </c>
    </row>
    <row r="115" spans="1:16" x14ac:dyDescent="0.2">
      <c r="A115" t="str">
        <f>IF($G115="","",INDEX('Passages List'!B$3:B$65,MATCH($G115,'Passages List'!$E$3:$E$65,1)))</f>
        <v>Pir Pau (INBOM)</v>
      </c>
      <c r="B115" t="str">
        <f>IF($G115="","",INDEX('Passages List'!C$3:C$65,MATCH($G115,'Passages List'!$E$3:$E$65,1)))</f>
        <v>New Mangalore (INNML)</v>
      </c>
      <c r="C115" s="1">
        <f>IF($G115="","",INDEX('Passages List'!E$3:E$65,MATCH($G115,'Passages List'!$E$3:$E$65,1)))</f>
        <v>46121.320833333331</v>
      </c>
      <c r="D115" s="1">
        <f>IF($G115="","",INDEX('Passages List'!F$3:F$65,MATCH($G115,'Passages List'!$E$3:$E$65,1)))</f>
        <v>46123.008333333331</v>
      </c>
      <c r="E115" t="str">
        <f>IF($G115="","",INDEX('Passages List'!G$3:G$65,MATCH($G115,'Passages List'!$E$3:$E$65,1)))</f>
        <v>Cargo</v>
      </c>
      <c r="F115" t="s">
        <v>99</v>
      </c>
      <c r="G115" s="1">
        <v>46122.854166666664</v>
      </c>
      <c r="H115" t="s">
        <v>305</v>
      </c>
      <c r="I115" t="s">
        <v>306</v>
      </c>
      <c r="J115" t="s">
        <v>627</v>
      </c>
      <c r="K115" t="s">
        <v>641</v>
      </c>
      <c r="L115" t="s">
        <v>103</v>
      </c>
      <c r="M115">
        <v>32</v>
      </c>
      <c r="N115" t="s">
        <v>17</v>
      </c>
      <c r="O115">
        <v>2.2000000000000002</v>
      </c>
      <c r="P115" t="s">
        <v>17</v>
      </c>
    </row>
    <row r="116" spans="1:16" x14ac:dyDescent="0.2">
      <c r="A116" t="str">
        <f>IF($G116="","",INDEX('Passages List'!B$3:B$65,MATCH($G116,'Passages List'!$E$3:$E$65,1)))</f>
        <v/>
      </c>
      <c r="B116" t="str">
        <f>IF($G116="","",INDEX('Passages List'!C$3:C$65,MATCH($G116,'Passages List'!$E$3:$E$65,1)))</f>
        <v>New Mangalore (INNML)</v>
      </c>
      <c r="C116" s="1">
        <f>IF($G116="","",INDEX('Passages List'!E$3:E$65,MATCH($G116,'Passages List'!$E$3:$E$65,1)))</f>
        <v>46123.008333333331</v>
      </c>
      <c r="D116" s="1">
        <f>IF($G116="","",INDEX('Passages List'!F$3:F$65,MATCH($G116,'Passages List'!$E$3:$E$65,1)))</f>
        <v>46123.73333333333</v>
      </c>
      <c r="E116" t="str">
        <f>IF($G116="","",INDEX('Passages List'!G$3:G$65,MATCH($G116,'Passages List'!$E$3:$E$65,1)))</f>
        <v>Cargo operations</v>
      </c>
      <c r="F116" t="s">
        <v>104</v>
      </c>
      <c r="G116" s="1">
        <v>46123.008333333331</v>
      </c>
      <c r="H116" t="s">
        <v>307</v>
      </c>
      <c r="I116" t="s">
        <v>308</v>
      </c>
      <c r="J116" t="s">
        <v>627</v>
      </c>
      <c r="K116" t="s">
        <v>624</v>
      </c>
      <c r="L116" t="s">
        <v>309</v>
      </c>
      <c r="M116">
        <v>19.899999999999999</v>
      </c>
      <c r="N116">
        <v>11307.4</v>
      </c>
      <c r="O116">
        <v>1.5</v>
      </c>
      <c r="P116" t="s">
        <v>17</v>
      </c>
    </row>
    <row r="117" spans="1:16" x14ac:dyDescent="0.2">
      <c r="A117" t="str">
        <f>IF($G117="","",INDEX('Passages List'!B$3:B$65,MATCH($G117,'Passages List'!$E$3:$E$65,1)))</f>
        <v/>
      </c>
      <c r="B117" t="str">
        <f>IF($G117="","",INDEX('Passages List'!C$3:C$65,MATCH($G117,'Passages List'!$E$3:$E$65,1)))</f>
        <v>New Mangalore (INNML)</v>
      </c>
      <c r="C117" s="1">
        <f>IF($G117="","",INDEX('Passages List'!E$3:E$65,MATCH($G117,'Passages List'!$E$3:$E$65,1)))</f>
        <v>46123.008333333331</v>
      </c>
      <c r="D117" s="1">
        <f>IF($G117="","",INDEX('Passages List'!F$3:F$65,MATCH($G117,'Passages List'!$E$3:$E$65,1)))</f>
        <v>46123.73333333333</v>
      </c>
      <c r="E117" t="str">
        <f>IF($G117="","",INDEX('Passages List'!G$3:G$65,MATCH($G117,'Passages List'!$E$3:$E$65,1)))</f>
        <v>Cargo operations</v>
      </c>
      <c r="F117" t="s">
        <v>105</v>
      </c>
      <c r="G117" s="1">
        <v>46123.729166666664</v>
      </c>
      <c r="H117" t="s">
        <v>307</v>
      </c>
      <c r="I117" t="s">
        <v>308</v>
      </c>
      <c r="J117" t="s">
        <v>627</v>
      </c>
      <c r="L117" t="s">
        <v>310</v>
      </c>
      <c r="M117" t="s">
        <v>17</v>
      </c>
      <c r="N117" t="s">
        <v>17</v>
      </c>
      <c r="O117">
        <v>1.7</v>
      </c>
      <c r="P117">
        <v>0.7</v>
      </c>
    </row>
    <row r="118" spans="1:16" x14ac:dyDescent="0.2">
      <c r="A118" t="str">
        <f>IF($G118="","",INDEX('Passages List'!B$3:B$65,MATCH($G118,'Passages List'!$E$3:$E$65,1)))</f>
        <v>New Mangalore (INNML)</v>
      </c>
      <c r="B118" t="str">
        <f>IF($G118="","",INDEX('Passages List'!C$3:C$65,MATCH($G118,'Passages List'!$E$3:$E$65,1)))</f>
        <v>Chennai (ex Madras) (INMAA)</v>
      </c>
      <c r="C118" s="1">
        <f>IF($G118="","",INDEX('Passages List'!E$3:E$65,MATCH($G118,'Passages List'!$E$3:$E$65,1)))</f>
        <v>46123.73333333333</v>
      </c>
      <c r="D118" s="1">
        <f>IF($G118="","",INDEX('Passages List'!F$3:F$65,MATCH($G118,'Passages List'!$E$3:$E$65,1)))</f>
        <v>46128.074999999997</v>
      </c>
      <c r="E118" t="str">
        <f>IF($G118="","",INDEX('Passages List'!G$3:G$65,MATCH($G118,'Passages List'!$E$3:$E$65,1)))</f>
        <v>Cargo</v>
      </c>
      <c r="F118" t="s">
        <v>106</v>
      </c>
      <c r="G118" s="1">
        <v>46123.73333333333</v>
      </c>
      <c r="H118" t="s">
        <v>307</v>
      </c>
      <c r="I118" t="s">
        <v>308</v>
      </c>
      <c r="J118" t="s">
        <v>629</v>
      </c>
      <c r="L118" t="s">
        <v>311</v>
      </c>
      <c r="M118" t="s">
        <v>17</v>
      </c>
      <c r="N118">
        <v>9319.5</v>
      </c>
      <c r="O118" t="s">
        <v>17</v>
      </c>
      <c r="P118" t="s">
        <v>17</v>
      </c>
    </row>
    <row r="119" spans="1:16" x14ac:dyDescent="0.2">
      <c r="A119" t="str">
        <f>IF($G119="","",INDEX('Passages List'!B$3:B$65,MATCH($G119,'Passages List'!$E$3:$E$65,1)))</f>
        <v>New Mangalore (INNML)</v>
      </c>
      <c r="B119" t="str">
        <f>IF($G119="","",INDEX('Passages List'!C$3:C$65,MATCH($G119,'Passages List'!$E$3:$E$65,1)))</f>
        <v>Chennai (ex Madras) (INMAA)</v>
      </c>
      <c r="C119" s="1">
        <f>IF($G119="","",INDEX('Passages List'!E$3:E$65,MATCH($G119,'Passages List'!$E$3:$E$65,1)))</f>
        <v>46123.73333333333</v>
      </c>
      <c r="D119" s="1">
        <f>IF($G119="","",INDEX('Passages List'!F$3:F$65,MATCH($G119,'Passages List'!$E$3:$E$65,1)))</f>
        <v>46128.074999999997</v>
      </c>
      <c r="E119" t="str">
        <f>IF($G119="","",INDEX('Passages List'!G$3:G$65,MATCH($G119,'Passages List'!$E$3:$E$65,1)))</f>
        <v>Cargo</v>
      </c>
      <c r="F119" t="s">
        <v>99</v>
      </c>
      <c r="G119" s="1">
        <v>46123.770833333336</v>
      </c>
      <c r="H119" t="s">
        <v>312</v>
      </c>
      <c r="I119" t="s">
        <v>313</v>
      </c>
      <c r="J119" t="s">
        <v>629</v>
      </c>
      <c r="K119" t="s">
        <v>623</v>
      </c>
      <c r="L119" t="s">
        <v>314</v>
      </c>
      <c r="M119">
        <v>6.4</v>
      </c>
      <c r="N119" t="s">
        <v>17</v>
      </c>
      <c r="O119">
        <v>0.6</v>
      </c>
      <c r="P119" t="s">
        <v>17</v>
      </c>
    </row>
    <row r="120" spans="1:16" x14ac:dyDescent="0.2">
      <c r="A120" t="str">
        <f>IF($G120="","",INDEX('Passages List'!B$3:B$65,MATCH($G120,'Passages List'!$E$3:$E$65,1)))</f>
        <v>New Mangalore (INNML)</v>
      </c>
      <c r="B120" t="str">
        <f>IF($G120="","",INDEX('Passages List'!C$3:C$65,MATCH($G120,'Passages List'!$E$3:$E$65,1)))</f>
        <v>Chennai (ex Madras) (INMAA)</v>
      </c>
      <c r="C120" s="1">
        <f>IF($G120="","",INDEX('Passages List'!E$3:E$65,MATCH($G120,'Passages List'!$E$3:$E$65,1)))</f>
        <v>46123.73333333333</v>
      </c>
      <c r="D120" s="1">
        <f>IF($G120="","",INDEX('Passages List'!F$3:F$65,MATCH($G120,'Passages List'!$E$3:$E$65,1)))</f>
        <v>46128.074999999997</v>
      </c>
      <c r="E120" t="str">
        <f>IF($G120="","",INDEX('Passages List'!G$3:G$65,MATCH($G120,'Passages List'!$E$3:$E$65,1)))</f>
        <v>Cargo</v>
      </c>
      <c r="F120" t="s">
        <v>99</v>
      </c>
      <c r="G120" s="1">
        <v>46124.729166666664</v>
      </c>
      <c r="H120" t="s">
        <v>315</v>
      </c>
      <c r="I120" t="s">
        <v>316</v>
      </c>
      <c r="J120" t="s">
        <v>629</v>
      </c>
      <c r="K120" t="s">
        <v>641</v>
      </c>
      <c r="L120" t="s">
        <v>317</v>
      </c>
      <c r="M120">
        <v>266.5</v>
      </c>
      <c r="N120" t="s">
        <v>17</v>
      </c>
      <c r="O120">
        <v>14.7</v>
      </c>
      <c r="P120" t="s">
        <v>17</v>
      </c>
    </row>
    <row r="121" spans="1:16" x14ac:dyDescent="0.2">
      <c r="A121" t="str">
        <f>IF($G121="","",INDEX('Passages List'!B$3:B$65,MATCH($G121,'Passages List'!$E$3:$E$65,1)))</f>
        <v>New Mangalore (INNML)</v>
      </c>
      <c r="B121" t="str">
        <f>IF($G121="","",INDEX('Passages List'!C$3:C$65,MATCH($G121,'Passages List'!$E$3:$E$65,1)))</f>
        <v>Chennai (ex Madras) (INMAA)</v>
      </c>
      <c r="C121" s="1">
        <f>IF($G121="","",INDEX('Passages List'!E$3:E$65,MATCH($G121,'Passages List'!$E$3:$E$65,1)))</f>
        <v>46123.73333333333</v>
      </c>
      <c r="D121" s="1">
        <f>IF($G121="","",INDEX('Passages List'!F$3:F$65,MATCH($G121,'Passages List'!$E$3:$E$65,1)))</f>
        <v>46128.074999999997</v>
      </c>
      <c r="E121" t="str">
        <f>IF($G121="","",INDEX('Passages List'!G$3:G$65,MATCH($G121,'Passages List'!$E$3:$E$65,1)))</f>
        <v>Cargo</v>
      </c>
      <c r="F121" t="s">
        <v>99</v>
      </c>
      <c r="G121" s="1">
        <v>46125.729166666664</v>
      </c>
      <c r="H121" t="s">
        <v>318</v>
      </c>
      <c r="I121" t="s">
        <v>319</v>
      </c>
      <c r="J121" t="s">
        <v>629</v>
      </c>
      <c r="K121" t="s">
        <v>641</v>
      </c>
      <c r="L121" t="s">
        <v>102</v>
      </c>
      <c r="M121">
        <v>274.60000000000002</v>
      </c>
      <c r="N121" t="s">
        <v>17</v>
      </c>
      <c r="O121">
        <v>15.4</v>
      </c>
      <c r="P121" t="s">
        <v>17</v>
      </c>
    </row>
    <row r="122" spans="1:16" x14ac:dyDescent="0.2">
      <c r="A122" t="str">
        <f>IF($G122="","",INDEX('Passages List'!B$3:B$65,MATCH($G122,'Passages List'!$E$3:$E$65,1)))</f>
        <v>New Mangalore (INNML)</v>
      </c>
      <c r="B122" t="str">
        <f>IF($G122="","",INDEX('Passages List'!C$3:C$65,MATCH($G122,'Passages List'!$E$3:$E$65,1)))</f>
        <v>Chennai (ex Madras) (INMAA)</v>
      </c>
      <c r="C122" s="1">
        <f>IF($G122="","",INDEX('Passages List'!E$3:E$65,MATCH($G122,'Passages List'!$E$3:$E$65,1)))</f>
        <v>46123.73333333333</v>
      </c>
      <c r="D122" s="1">
        <f>IF($G122="","",INDEX('Passages List'!F$3:F$65,MATCH($G122,'Passages List'!$E$3:$E$65,1)))</f>
        <v>46128.074999999997</v>
      </c>
      <c r="E122" t="str">
        <f>IF($G122="","",INDEX('Passages List'!G$3:G$65,MATCH($G122,'Passages List'!$E$3:$E$65,1)))</f>
        <v>Cargo</v>
      </c>
      <c r="F122" t="s">
        <v>99</v>
      </c>
      <c r="G122" s="1">
        <v>46126.729166666664</v>
      </c>
      <c r="H122" t="s">
        <v>320</v>
      </c>
      <c r="I122" t="s">
        <v>321</v>
      </c>
      <c r="J122" t="s">
        <v>629</v>
      </c>
      <c r="K122" t="s">
        <v>641</v>
      </c>
      <c r="L122" t="s">
        <v>102</v>
      </c>
      <c r="M122">
        <v>268.7</v>
      </c>
      <c r="N122" t="s">
        <v>17</v>
      </c>
      <c r="O122">
        <v>15.3</v>
      </c>
      <c r="P122" t="s">
        <v>17</v>
      </c>
    </row>
    <row r="123" spans="1:16" x14ac:dyDescent="0.2">
      <c r="A123" t="str">
        <f>IF($G123="","",INDEX('Passages List'!B$3:B$65,MATCH($G123,'Passages List'!$E$3:$E$65,1)))</f>
        <v>New Mangalore (INNML)</v>
      </c>
      <c r="B123" t="str">
        <f>IF($G123="","",INDEX('Passages List'!C$3:C$65,MATCH($G123,'Passages List'!$E$3:$E$65,1)))</f>
        <v>Chennai (ex Madras) (INMAA)</v>
      </c>
      <c r="C123" s="1">
        <f>IF($G123="","",INDEX('Passages List'!E$3:E$65,MATCH($G123,'Passages List'!$E$3:$E$65,1)))</f>
        <v>46123.73333333333</v>
      </c>
      <c r="D123" s="1">
        <f>IF($G123="","",INDEX('Passages List'!F$3:F$65,MATCH($G123,'Passages List'!$E$3:$E$65,1)))</f>
        <v>46128.074999999997</v>
      </c>
      <c r="E123" t="str">
        <f>IF($G123="","",INDEX('Passages List'!G$3:G$65,MATCH($G123,'Passages List'!$E$3:$E$65,1)))</f>
        <v>Cargo</v>
      </c>
      <c r="F123" t="s">
        <v>99</v>
      </c>
      <c r="G123" s="1">
        <v>46127.729166666664</v>
      </c>
      <c r="H123" t="s">
        <v>322</v>
      </c>
      <c r="I123" t="s">
        <v>323</v>
      </c>
      <c r="J123" t="s">
        <v>629</v>
      </c>
      <c r="K123" t="s">
        <v>641</v>
      </c>
      <c r="L123" t="s">
        <v>102</v>
      </c>
      <c r="M123">
        <v>282.3</v>
      </c>
      <c r="N123" t="s">
        <v>17</v>
      </c>
      <c r="O123">
        <v>15.5</v>
      </c>
      <c r="P123" t="s">
        <v>17</v>
      </c>
    </row>
    <row r="124" spans="1:16" x14ac:dyDescent="0.2">
      <c r="A124" t="str">
        <f>IF($G124="","",INDEX('Passages List'!B$3:B$65,MATCH($G124,'Passages List'!$E$3:$E$65,1)))</f>
        <v>New Mangalore (INNML)</v>
      </c>
      <c r="B124" t="str">
        <f>IF($G124="","",INDEX('Passages List'!C$3:C$65,MATCH($G124,'Passages List'!$E$3:$E$65,1)))</f>
        <v>Chennai (ex Madras) (INMAA)</v>
      </c>
      <c r="C124" s="1">
        <f>IF($G124="","",INDEX('Passages List'!E$3:E$65,MATCH($G124,'Passages List'!$E$3:$E$65,1)))</f>
        <v>46123.73333333333</v>
      </c>
      <c r="D124" s="1">
        <f>IF($G124="","",INDEX('Passages List'!F$3:F$65,MATCH($G124,'Passages List'!$E$3:$E$65,1)))</f>
        <v>46128.074999999997</v>
      </c>
      <c r="E124" t="str">
        <f>IF($G124="","",INDEX('Passages List'!G$3:G$65,MATCH($G124,'Passages List'!$E$3:$E$65,1)))</f>
        <v>Cargo</v>
      </c>
      <c r="F124" t="s">
        <v>99</v>
      </c>
      <c r="G124" s="1">
        <v>46127.854166666664</v>
      </c>
      <c r="H124" t="s">
        <v>324</v>
      </c>
      <c r="I124" t="s">
        <v>325</v>
      </c>
      <c r="J124" t="s">
        <v>629</v>
      </c>
      <c r="K124" t="s">
        <v>641</v>
      </c>
      <c r="L124" t="s">
        <v>103</v>
      </c>
      <c r="M124">
        <v>35.799999999999997</v>
      </c>
      <c r="N124" t="s">
        <v>17</v>
      </c>
      <c r="O124">
        <v>2.2999999999999998</v>
      </c>
      <c r="P124" t="s">
        <v>17</v>
      </c>
    </row>
    <row r="125" spans="1:16" x14ac:dyDescent="0.2">
      <c r="A125" t="str">
        <f>IF($G125="","",INDEX('Passages List'!B$3:B$65,MATCH($G125,'Passages List'!$E$3:$E$65,1)))</f>
        <v/>
      </c>
      <c r="B125" t="str">
        <f>IF($G125="","",INDEX('Passages List'!C$3:C$65,MATCH($G125,'Passages List'!$E$3:$E$65,1)))</f>
        <v>Chennai (ex Madras) (INMAA)</v>
      </c>
      <c r="C125" s="1">
        <f>IF($G125="","",INDEX('Passages List'!E$3:E$65,MATCH($G125,'Passages List'!$E$3:$E$65,1)))</f>
        <v>46128.074999999997</v>
      </c>
      <c r="D125" s="1">
        <f>IF($G125="","",INDEX('Passages List'!F$3:F$65,MATCH($G125,'Passages List'!$E$3:$E$65,1)))</f>
        <v>46129.215277777781</v>
      </c>
      <c r="E125" t="str">
        <f>IF($G125="","",INDEX('Passages List'!G$3:G$65,MATCH($G125,'Passages List'!$E$3:$E$65,1)))</f>
        <v>Cargo operations</v>
      </c>
      <c r="F125" t="s">
        <v>104</v>
      </c>
      <c r="G125" s="1">
        <v>46128.074999999997</v>
      </c>
      <c r="H125" t="s">
        <v>326</v>
      </c>
      <c r="I125" t="s">
        <v>327</v>
      </c>
      <c r="J125" t="s">
        <v>629</v>
      </c>
      <c r="K125" t="s">
        <v>624</v>
      </c>
      <c r="L125" t="s">
        <v>328</v>
      </c>
      <c r="M125">
        <v>22</v>
      </c>
      <c r="N125">
        <v>9319.5</v>
      </c>
      <c r="O125">
        <v>1.6</v>
      </c>
      <c r="P125" t="s">
        <v>17</v>
      </c>
    </row>
    <row r="126" spans="1:16" x14ac:dyDescent="0.2">
      <c r="A126" t="str">
        <f>IF($G126="","",INDEX('Passages List'!B$3:B$65,MATCH($G126,'Passages List'!$E$3:$E$65,1)))</f>
        <v/>
      </c>
      <c r="B126" t="str">
        <f>IF($G126="","",INDEX('Passages List'!C$3:C$65,MATCH($G126,'Passages List'!$E$3:$E$65,1)))</f>
        <v>Chennai (ex Madras) (INMAA)</v>
      </c>
      <c r="C126" s="1">
        <f>IF($G126="","",INDEX('Passages List'!E$3:E$65,MATCH($G126,'Passages List'!$E$3:$E$65,1)))</f>
        <v>46128.074999999997</v>
      </c>
      <c r="D126" s="1">
        <f>IF($G126="","",INDEX('Passages List'!F$3:F$65,MATCH($G126,'Passages List'!$E$3:$E$65,1)))</f>
        <v>46129.215277777781</v>
      </c>
      <c r="E126" t="str">
        <f>IF($G126="","",INDEX('Passages List'!G$3:G$65,MATCH($G126,'Passages List'!$E$3:$E$65,1)))</f>
        <v>Cargo operations</v>
      </c>
      <c r="F126" t="s">
        <v>105</v>
      </c>
      <c r="G126" s="1">
        <v>46128.729166666664</v>
      </c>
      <c r="H126" t="s">
        <v>326</v>
      </c>
      <c r="I126" t="s">
        <v>327</v>
      </c>
      <c r="J126" t="s">
        <v>629</v>
      </c>
      <c r="L126" t="s">
        <v>144</v>
      </c>
      <c r="M126" t="s">
        <v>17</v>
      </c>
      <c r="N126" t="s">
        <v>17</v>
      </c>
      <c r="O126">
        <v>1.6</v>
      </c>
      <c r="P126">
        <v>0.8</v>
      </c>
    </row>
    <row r="127" spans="1:16" x14ac:dyDescent="0.2">
      <c r="A127" t="str">
        <f>IF($G127="","",INDEX('Passages List'!B$3:B$65,MATCH($G127,'Passages List'!$E$3:$E$65,1)))</f>
        <v>Chennai (ex Madras) (INMAA)</v>
      </c>
      <c r="B127" t="str">
        <f>IF($G127="","",INDEX('Passages List'!C$3:C$65,MATCH($G127,'Passages List'!$E$3:$E$65,1)))</f>
        <v>Hazira Port (Surat) Hbr (INHZA)</v>
      </c>
      <c r="C127" s="1">
        <f>IF($G127="","",INDEX('Passages List'!E$3:E$65,MATCH($G127,'Passages List'!$E$3:$E$65,1)))</f>
        <v>46129.215277777781</v>
      </c>
      <c r="D127" s="1">
        <f>IF($G127="","",INDEX('Passages List'!F$3:F$65,MATCH($G127,'Passages List'!$E$3:$E$65,1)))</f>
        <v>46136.604166666664</v>
      </c>
      <c r="E127" t="str">
        <f>IF($G127="","",INDEX('Passages List'!G$3:G$65,MATCH($G127,'Passages List'!$E$3:$E$65,1)))</f>
        <v>Ballast</v>
      </c>
      <c r="F127" t="s">
        <v>106</v>
      </c>
      <c r="G127" s="1">
        <v>46129.215277777781</v>
      </c>
      <c r="H127" t="s">
        <v>326</v>
      </c>
      <c r="I127" t="s">
        <v>327</v>
      </c>
      <c r="J127" t="s">
        <v>80</v>
      </c>
      <c r="L127" t="s">
        <v>329</v>
      </c>
      <c r="M127" t="s">
        <v>17</v>
      </c>
      <c r="N127" t="s">
        <v>17</v>
      </c>
      <c r="O127">
        <v>1.2</v>
      </c>
      <c r="P127">
        <v>0.6</v>
      </c>
    </row>
    <row r="128" spans="1:16" x14ac:dyDescent="0.2">
      <c r="A128" t="str">
        <f>IF($G128="","",INDEX('Passages List'!B$3:B$65,MATCH($G128,'Passages List'!$E$3:$E$65,1)))</f>
        <v>Chennai (ex Madras) (INMAA)</v>
      </c>
      <c r="B128" t="str">
        <f>IF($G128="","",INDEX('Passages List'!C$3:C$65,MATCH($G128,'Passages List'!$E$3:$E$65,1)))</f>
        <v>Hazira Port (Surat) Hbr (INHZA)</v>
      </c>
      <c r="C128" s="1">
        <f>IF($G128="","",INDEX('Passages List'!E$3:E$65,MATCH($G128,'Passages List'!$E$3:$E$65,1)))</f>
        <v>46129.215277777781</v>
      </c>
      <c r="D128" s="1">
        <f>IF($G128="","",INDEX('Passages List'!F$3:F$65,MATCH($G128,'Passages List'!$E$3:$E$65,1)))</f>
        <v>46136.604166666664</v>
      </c>
      <c r="E128" t="str">
        <f>IF($G128="","",INDEX('Passages List'!G$3:G$65,MATCH($G128,'Passages List'!$E$3:$E$65,1)))</f>
        <v>Ballast</v>
      </c>
      <c r="F128" t="s">
        <v>99</v>
      </c>
      <c r="G128" s="1">
        <v>46129.270833333336</v>
      </c>
      <c r="H128" t="s">
        <v>330</v>
      </c>
      <c r="I128" t="s">
        <v>331</v>
      </c>
      <c r="J128" t="s">
        <v>80</v>
      </c>
      <c r="K128" t="s">
        <v>623</v>
      </c>
      <c r="L128" t="s">
        <v>332</v>
      </c>
      <c r="M128">
        <v>11</v>
      </c>
      <c r="N128" t="s">
        <v>17</v>
      </c>
      <c r="O128">
        <v>0.9</v>
      </c>
      <c r="P128" t="s">
        <v>17</v>
      </c>
    </row>
    <row r="129" spans="1:16" x14ac:dyDescent="0.2">
      <c r="A129" t="str">
        <f>IF($G129="","",INDEX('Passages List'!B$3:B$65,MATCH($G129,'Passages List'!$E$3:$E$65,1)))</f>
        <v>Chennai (ex Madras) (INMAA)</v>
      </c>
      <c r="B129" t="str">
        <f>IF($G129="","",INDEX('Passages List'!C$3:C$65,MATCH($G129,'Passages List'!$E$3:$E$65,1)))</f>
        <v>Hazira Port (Surat) Hbr (INHZA)</v>
      </c>
      <c r="C129" s="1">
        <f>IF($G129="","",INDEX('Passages List'!E$3:E$65,MATCH($G129,'Passages List'!$E$3:$E$65,1)))</f>
        <v>46129.215277777781</v>
      </c>
      <c r="D129" s="1">
        <f>IF($G129="","",INDEX('Passages List'!F$3:F$65,MATCH($G129,'Passages List'!$E$3:$E$65,1)))</f>
        <v>46136.604166666664</v>
      </c>
      <c r="E129" t="str">
        <f>IF($G129="","",INDEX('Passages List'!G$3:G$65,MATCH($G129,'Passages List'!$E$3:$E$65,1)))</f>
        <v>Ballast</v>
      </c>
      <c r="F129" t="s">
        <v>99</v>
      </c>
      <c r="G129" s="1">
        <v>46129.729166666664</v>
      </c>
      <c r="H129" t="s">
        <v>333</v>
      </c>
      <c r="I129" t="s">
        <v>334</v>
      </c>
      <c r="J129" t="s">
        <v>80</v>
      </c>
      <c r="K129" t="s">
        <v>641</v>
      </c>
      <c r="L129" t="s">
        <v>335</v>
      </c>
      <c r="M129">
        <v>123</v>
      </c>
      <c r="N129" t="s">
        <v>17</v>
      </c>
      <c r="O129">
        <v>7.8</v>
      </c>
      <c r="P129" t="s">
        <v>17</v>
      </c>
    </row>
    <row r="130" spans="1:16" x14ac:dyDescent="0.2">
      <c r="A130" t="str">
        <f>IF($G130="","",INDEX('Passages List'!B$3:B$65,MATCH($G130,'Passages List'!$E$3:$E$65,1)))</f>
        <v>Chennai (ex Madras) (INMAA)</v>
      </c>
      <c r="B130" t="str">
        <f>IF($G130="","",INDEX('Passages List'!C$3:C$65,MATCH($G130,'Passages List'!$E$3:$E$65,1)))</f>
        <v>Hazira Port (Surat) Hbr (INHZA)</v>
      </c>
      <c r="C130" s="1">
        <f>IF($G130="","",INDEX('Passages List'!E$3:E$65,MATCH($G130,'Passages List'!$E$3:$E$65,1)))</f>
        <v>46129.215277777781</v>
      </c>
      <c r="D130" s="1">
        <f>IF($G130="","",INDEX('Passages List'!F$3:F$65,MATCH($G130,'Passages List'!$E$3:$E$65,1)))</f>
        <v>46136.604166666664</v>
      </c>
      <c r="E130" t="str">
        <f>IF($G130="","",INDEX('Passages List'!G$3:G$65,MATCH($G130,'Passages List'!$E$3:$E$65,1)))</f>
        <v>Ballast</v>
      </c>
      <c r="F130" t="s">
        <v>99</v>
      </c>
      <c r="G130" s="1">
        <v>46130.729166666664</v>
      </c>
      <c r="H130" t="s">
        <v>336</v>
      </c>
      <c r="I130" t="s">
        <v>337</v>
      </c>
      <c r="J130" t="s">
        <v>80</v>
      </c>
      <c r="K130" t="s">
        <v>641</v>
      </c>
      <c r="L130" t="s">
        <v>102</v>
      </c>
      <c r="M130">
        <v>269.39999999999998</v>
      </c>
      <c r="N130" t="s">
        <v>17</v>
      </c>
      <c r="O130">
        <v>15.1</v>
      </c>
      <c r="P130" t="s">
        <v>17</v>
      </c>
    </row>
    <row r="131" spans="1:16" x14ac:dyDescent="0.2">
      <c r="A131" t="str">
        <f>IF($G131="","",INDEX('Passages List'!B$3:B$65,MATCH($G131,'Passages List'!$E$3:$E$65,1)))</f>
        <v>Chennai (ex Madras) (INMAA)</v>
      </c>
      <c r="B131" t="str">
        <f>IF($G131="","",INDEX('Passages List'!C$3:C$65,MATCH($G131,'Passages List'!$E$3:$E$65,1)))</f>
        <v>Hazira Port (Surat) Hbr (INHZA)</v>
      </c>
      <c r="C131" s="1">
        <f>IF($G131="","",INDEX('Passages List'!E$3:E$65,MATCH($G131,'Passages List'!$E$3:$E$65,1)))</f>
        <v>46129.215277777781</v>
      </c>
      <c r="D131" s="1">
        <f>IF($G131="","",INDEX('Passages List'!F$3:F$65,MATCH($G131,'Passages List'!$E$3:$E$65,1)))</f>
        <v>46136.604166666664</v>
      </c>
      <c r="E131" t="str">
        <f>IF($G131="","",INDEX('Passages List'!G$3:G$65,MATCH($G131,'Passages List'!$E$3:$E$65,1)))</f>
        <v>Ballast</v>
      </c>
      <c r="F131" t="s">
        <v>99</v>
      </c>
      <c r="G131" s="1">
        <v>46131.729166666664</v>
      </c>
      <c r="H131" t="s">
        <v>338</v>
      </c>
      <c r="I131" t="s">
        <v>339</v>
      </c>
      <c r="J131" t="s">
        <v>80</v>
      </c>
      <c r="K131" t="s">
        <v>641</v>
      </c>
      <c r="L131" t="s">
        <v>102</v>
      </c>
      <c r="M131">
        <v>289</v>
      </c>
      <c r="N131" t="s">
        <v>17</v>
      </c>
      <c r="O131">
        <v>15.1</v>
      </c>
      <c r="P131" t="s">
        <v>17</v>
      </c>
    </row>
    <row r="132" spans="1:16" x14ac:dyDescent="0.2">
      <c r="A132" t="str">
        <f>IF($G132="","",INDEX('Passages List'!B$3:B$65,MATCH($G132,'Passages List'!$E$3:$E$65,1)))</f>
        <v>Chennai (ex Madras) (INMAA)</v>
      </c>
      <c r="B132" t="str">
        <f>IF($G132="","",INDEX('Passages List'!C$3:C$65,MATCH($G132,'Passages List'!$E$3:$E$65,1)))</f>
        <v>Hazira Port (Surat) Hbr (INHZA)</v>
      </c>
      <c r="C132" s="1">
        <f>IF($G132="","",INDEX('Passages List'!E$3:E$65,MATCH($G132,'Passages List'!$E$3:$E$65,1)))</f>
        <v>46129.215277777781</v>
      </c>
      <c r="D132" s="1">
        <f>IF($G132="","",INDEX('Passages List'!F$3:F$65,MATCH($G132,'Passages List'!$E$3:$E$65,1)))</f>
        <v>46136.604166666664</v>
      </c>
      <c r="E132" t="str">
        <f>IF($G132="","",INDEX('Passages List'!G$3:G$65,MATCH($G132,'Passages List'!$E$3:$E$65,1)))</f>
        <v>Ballast</v>
      </c>
      <c r="F132" t="s">
        <v>99</v>
      </c>
      <c r="G132" s="1">
        <v>46132.729166666664</v>
      </c>
      <c r="H132" t="s">
        <v>340</v>
      </c>
      <c r="I132" t="s">
        <v>341</v>
      </c>
      <c r="J132" t="s">
        <v>80</v>
      </c>
      <c r="K132" t="s">
        <v>641</v>
      </c>
      <c r="L132" t="s">
        <v>102</v>
      </c>
      <c r="M132">
        <v>279</v>
      </c>
      <c r="N132" t="s">
        <v>17</v>
      </c>
      <c r="O132">
        <v>15.2</v>
      </c>
      <c r="P132" t="s">
        <v>17</v>
      </c>
    </row>
    <row r="133" spans="1:16" x14ac:dyDescent="0.2">
      <c r="A133" t="str">
        <f>IF($G133="","",INDEX('Passages List'!B$3:B$65,MATCH($G133,'Passages List'!$E$3:$E$65,1)))</f>
        <v>Chennai (ex Madras) (INMAA)</v>
      </c>
      <c r="B133" t="str">
        <f>IF($G133="","",INDEX('Passages List'!C$3:C$65,MATCH($G133,'Passages List'!$E$3:$E$65,1)))</f>
        <v>Hazira Port (Surat) Hbr (INHZA)</v>
      </c>
      <c r="C133" s="1">
        <f>IF($G133="","",INDEX('Passages List'!E$3:E$65,MATCH($G133,'Passages List'!$E$3:$E$65,1)))</f>
        <v>46129.215277777781</v>
      </c>
      <c r="D133" s="1">
        <f>IF($G133="","",INDEX('Passages List'!F$3:F$65,MATCH($G133,'Passages List'!$E$3:$E$65,1)))</f>
        <v>46136.604166666664</v>
      </c>
      <c r="E133" t="str">
        <f>IF($G133="","",INDEX('Passages List'!G$3:G$65,MATCH($G133,'Passages List'!$E$3:$E$65,1)))</f>
        <v>Ballast</v>
      </c>
      <c r="F133" t="s">
        <v>99</v>
      </c>
      <c r="G133" s="1">
        <v>46133.729166666664</v>
      </c>
      <c r="H133" t="s">
        <v>342</v>
      </c>
      <c r="I133" t="s">
        <v>343</v>
      </c>
      <c r="J133" t="s">
        <v>80</v>
      </c>
      <c r="K133" t="s">
        <v>641</v>
      </c>
      <c r="L133" t="s">
        <v>102</v>
      </c>
      <c r="M133">
        <v>273</v>
      </c>
      <c r="N133" t="s">
        <v>17</v>
      </c>
      <c r="O133">
        <v>15.2</v>
      </c>
      <c r="P133" t="s">
        <v>17</v>
      </c>
    </row>
    <row r="134" spans="1:16" x14ac:dyDescent="0.2">
      <c r="A134" t="str">
        <f>IF($G134="","",INDEX('Passages List'!B$3:B$65,MATCH($G134,'Passages List'!$E$3:$E$65,1)))</f>
        <v>Chennai (ex Madras) (INMAA)</v>
      </c>
      <c r="B134" t="str">
        <f>IF($G134="","",INDEX('Passages List'!C$3:C$65,MATCH($G134,'Passages List'!$E$3:$E$65,1)))</f>
        <v>Hazira Port (Surat) Hbr (INHZA)</v>
      </c>
      <c r="C134" s="1">
        <f>IF($G134="","",INDEX('Passages List'!E$3:E$65,MATCH($G134,'Passages List'!$E$3:$E$65,1)))</f>
        <v>46129.215277777781</v>
      </c>
      <c r="D134" s="1">
        <f>IF($G134="","",INDEX('Passages List'!F$3:F$65,MATCH($G134,'Passages List'!$E$3:$E$65,1)))</f>
        <v>46136.604166666664</v>
      </c>
      <c r="E134" t="str">
        <f>IF($G134="","",INDEX('Passages List'!G$3:G$65,MATCH($G134,'Passages List'!$E$3:$E$65,1)))</f>
        <v>Ballast</v>
      </c>
      <c r="F134" t="s">
        <v>99</v>
      </c>
      <c r="G134" s="1">
        <v>46134.729166666664</v>
      </c>
      <c r="H134" t="s">
        <v>344</v>
      </c>
      <c r="I134" t="s">
        <v>345</v>
      </c>
      <c r="J134" t="s">
        <v>80</v>
      </c>
      <c r="K134" t="s">
        <v>641</v>
      </c>
      <c r="L134" t="s">
        <v>102</v>
      </c>
      <c r="M134">
        <v>279</v>
      </c>
      <c r="N134" t="s">
        <v>17</v>
      </c>
      <c r="O134">
        <v>15.4</v>
      </c>
      <c r="P134" t="s">
        <v>17</v>
      </c>
    </row>
    <row r="135" spans="1:16" x14ac:dyDescent="0.2">
      <c r="A135" t="str">
        <f>IF($G135="","",INDEX('Passages List'!B$3:B$65,MATCH($G135,'Passages List'!$E$3:$E$65,1)))</f>
        <v>Chennai (ex Madras) (INMAA)</v>
      </c>
      <c r="B135" t="str">
        <f>IF($G135="","",INDEX('Passages List'!C$3:C$65,MATCH($G135,'Passages List'!$E$3:$E$65,1)))</f>
        <v>Hazira Port (Surat) Hbr (INHZA)</v>
      </c>
      <c r="C135" s="1">
        <f>IF($G135="","",INDEX('Passages List'!E$3:E$65,MATCH($G135,'Passages List'!$E$3:$E$65,1)))</f>
        <v>46129.215277777781</v>
      </c>
      <c r="D135" s="1">
        <f>IF($G135="","",INDEX('Passages List'!F$3:F$65,MATCH($G135,'Passages List'!$E$3:$E$65,1)))</f>
        <v>46136.604166666664</v>
      </c>
      <c r="E135" t="str">
        <f>IF($G135="","",INDEX('Passages List'!G$3:G$65,MATCH($G135,'Passages List'!$E$3:$E$65,1)))</f>
        <v>Ballast</v>
      </c>
      <c r="F135" t="s">
        <v>99</v>
      </c>
      <c r="G135" s="1">
        <v>46135.041666666664</v>
      </c>
      <c r="H135" t="s">
        <v>346</v>
      </c>
      <c r="I135" t="s">
        <v>347</v>
      </c>
      <c r="J135" t="s">
        <v>80</v>
      </c>
      <c r="K135" t="s">
        <v>641</v>
      </c>
      <c r="L135" t="s">
        <v>348</v>
      </c>
      <c r="M135">
        <v>90</v>
      </c>
      <c r="N135" t="s">
        <v>17</v>
      </c>
      <c r="O135">
        <v>5.4</v>
      </c>
      <c r="P135" t="s">
        <v>17</v>
      </c>
    </row>
    <row r="136" spans="1:16" x14ac:dyDescent="0.2">
      <c r="A136" t="str">
        <f>IF($G136="","",INDEX('Passages List'!B$3:B$65,MATCH($G136,'Passages List'!$E$3:$E$65,1)))</f>
        <v>Chennai (ex Madras) (INMAA)</v>
      </c>
      <c r="B136" t="str">
        <f>IF($G136="","",INDEX('Passages List'!C$3:C$65,MATCH($G136,'Passages List'!$E$3:$E$65,1)))</f>
        <v>Hazira Port (Surat) Hbr (INHZA)</v>
      </c>
      <c r="C136" s="1">
        <f>IF($G136="","",INDEX('Passages List'!E$3:E$65,MATCH($G136,'Passages List'!$E$3:$E$65,1)))</f>
        <v>46129.215277777781</v>
      </c>
      <c r="D136" s="1">
        <f>IF($G136="","",INDEX('Passages List'!F$3:F$65,MATCH($G136,'Passages List'!$E$3:$E$65,1)))</f>
        <v>46136.604166666664</v>
      </c>
      <c r="E136" t="str">
        <f>IF($G136="","",INDEX('Passages List'!G$3:G$65,MATCH($G136,'Passages List'!$E$3:$E$65,1)))</f>
        <v>Ballast</v>
      </c>
      <c r="F136" t="s">
        <v>99</v>
      </c>
      <c r="G136" s="1">
        <v>46135.154166666667</v>
      </c>
      <c r="H136" t="s">
        <v>349</v>
      </c>
      <c r="I136" t="s">
        <v>350</v>
      </c>
      <c r="J136" t="s">
        <v>80</v>
      </c>
      <c r="K136" t="s">
        <v>624</v>
      </c>
      <c r="L136" t="s">
        <v>351</v>
      </c>
      <c r="M136">
        <v>10</v>
      </c>
      <c r="N136" t="s">
        <v>17</v>
      </c>
      <c r="O136">
        <v>1.5</v>
      </c>
      <c r="P136" t="s">
        <v>17</v>
      </c>
    </row>
    <row r="137" spans="1:16" x14ac:dyDescent="0.2">
      <c r="A137" t="str">
        <f>IF($G137="","",INDEX('Passages List'!B$3:B$65,MATCH($G137,'Passages List'!$E$3:$E$65,1)))</f>
        <v>Chennai (ex Madras) (INMAA)</v>
      </c>
      <c r="B137" t="str">
        <f>IF($G137="","",INDEX('Passages List'!C$3:C$65,MATCH($G137,'Passages List'!$E$3:$E$65,1)))</f>
        <v>Hazira Port (Surat) Hbr (INHZA)</v>
      </c>
      <c r="C137" s="1">
        <f>IF($G137="","",INDEX('Passages List'!E$3:E$65,MATCH($G137,'Passages List'!$E$3:$E$65,1)))</f>
        <v>46129.215277777781</v>
      </c>
      <c r="D137" s="1">
        <f>IF($G137="","",INDEX('Passages List'!F$3:F$65,MATCH($G137,'Passages List'!$E$3:$E$65,1)))</f>
        <v>46136.604166666664</v>
      </c>
      <c r="E137" t="str">
        <f>IF($G137="","",INDEX('Passages List'!G$3:G$65,MATCH($G137,'Passages List'!$E$3:$E$65,1)))</f>
        <v>Ballast</v>
      </c>
      <c r="F137" t="s">
        <v>99</v>
      </c>
      <c r="G137" s="1">
        <v>46135.729166666664</v>
      </c>
      <c r="H137" t="s">
        <v>352</v>
      </c>
      <c r="I137" t="s">
        <v>350</v>
      </c>
      <c r="J137" t="s">
        <v>80</v>
      </c>
      <c r="L137" t="s">
        <v>353</v>
      </c>
      <c r="M137" t="s">
        <v>17</v>
      </c>
      <c r="N137" t="s">
        <v>17</v>
      </c>
      <c r="O137">
        <v>1.1000000000000001</v>
      </c>
      <c r="P137">
        <v>0.6</v>
      </c>
    </row>
    <row r="138" spans="1:16" x14ac:dyDescent="0.2">
      <c r="A138" t="str">
        <f>IF($G138="","",INDEX('Passages List'!B$3:B$65,MATCH($G138,'Passages List'!$E$3:$E$65,1)))</f>
        <v/>
      </c>
      <c r="B138" t="str">
        <f>IF($G138="","",INDEX('Passages List'!C$3:C$65,MATCH($G138,'Passages List'!$E$3:$E$65,1)))</f>
        <v>Hazira Port (Surat) Hbr (INHZA)</v>
      </c>
      <c r="C138" s="1">
        <f>IF($G138="","",INDEX('Passages List'!E$3:E$65,MATCH($G138,'Passages List'!$E$3:$E$65,1)))</f>
        <v>46136.604166666664</v>
      </c>
      <c r="D138" s="1">
        <f>IF($G138="","",INDEX('Passages List'!F$3:F$65,MATCH($G138,'Passages List'!$E$3:$E$65,1)))</f>
        <v>46139.20416666667</v>
      </c>
      <c r="E138" t="str">
        <f>IF($G138="","",INDEX('Passages List'!G$3:G$65,MATCH($G138,'Passages List'!$E$3:$E$65,1)))</f>
        <v>Cargo operations</v>
      </c>
      <c r="F138" t="s">
        <v>104</v>
      </c>
      <c r="G138" s="1">
        <v>46136.604166666664</v>
      </c>
      <c r="H138" t="s">
        <v>279</v>
      </c>
      <c r="I138" t="s">
        <v>150</v>
      </c>
      <c r="J138" t="s">
        <v>80</v>
      </c>
      <c r="L138" t="s">
        <v>276</v>
      </c>
      <c r="M138">
        <v>20</v>
      </c>
      <c r="N138" t="s">
        <v>17</v>
      </c>
      <c r="O138">
        <v>2.9</v>
      </c>
      <c r="P138">
        <v>0.9</v>
      </c>
    </row>
    <row r="139" spans="1:16" x14ac:dyDescent="0.2">
      <c r="A139" t="str">
        <f>IF($G139="","",INDEX('Passages List'!B$3:B$65,MATCH($G139,'Passages List'!$E$3:$E$65,1)))</f>
        <v/>
      </c>
      <c r="B139" t="str">
        <f>IF($G139="","",INDEX('Passages List'!C$3:C$65,MATCH($G139,'Passages List'!$E$3:$E$65,1)))</f>
        <v>Hazira Port (Surat) Hbr (INHZA)</v>
      </c>
      <c r="C139" s="1">
        <f>IF($G139="","",INDEX('Passages List'!E$3:E$65,MATCH($G139,'Passages List'!$E$3:$E$65,1)))</f>
        <v>46136.604166666664</v>
      </c>
      <c r="D139" s="1">
        <f>IF($G139="","",INDEX('Passages List'!F$3:F$65,MATCH($G139,'Passages List'!$E$3:$E$65,1)))</f>
        <v>46139.20416666667</v>
      </c>
      <c r="E139" t="str">
        <f>IF($G139="","",INDEX('Passages List'!G$3:G$65,MATCH($G139,'Passages List'!$E$3:$E$65,1)))</f>
        <v>Cargo operations</v>
      </c>
      <c r="F139" t="s">
        <v>105</v>
      </c>
      <c r="G139" s="1">
        <v>46136.729166666664</v>
      </c>
      <c r="H139" t="s">
        <v>279</v>
      </c>
      <c r="I139" t="s">
        <v>150</v>
      </c>
      <c r="J139" t="s">
        <v>80</v>
      </c>
      <c r="L139" t="s">
        <v>103</v>
      </c>
      <c r="M139" t="s">
        <v>17</v>
      </c>
      <c r="N139" t="s">
        <v>17</v>
      </c>
      <c r="O139">
        <v>0.3</v>
      </c>
      <c r="P139">
        <v>0.1</v>
      </c>
    </row>
    <row r="140" spans="1:16" x14ac:dyDescent="0.2">
      <c r="A140" t="str">
        <f>IF($G140="","",INDEX('Passages List'!B$3:B$65,MATCH($G140,'Passages List'!$E$3:$E$65,1)))</f>
        <v/>
      </c>
      <c r="B140" t="str">
        <f>IF($G140="","",INDEX('Passages List'!C$3:C$65,MATCH($G140,'Passages List'!$E$3:$E$65,1)))</f>
        <v>Hazira Port (Surat) Hbr (INHZA)</v>
      </c>
      <c r="C140" s="1">
        <f>IF($G140="","",INDEX('Passages List'!E$3:E$65,MATCH($G140,'Passages List'!$E$3:$E$65,1)))</f>
        <v>46136.604166666664</v>
      </c>
      <c r="D140" s="1">
        <f>IF($G140="","",INDEX('Passages List'!F$3:F$65,MATCH($G140,'Passages List'!$E$3:$E$65,1)))</f>
        <v>46139.20416666667</v>
      </c>
      <c r="E140" t="str">
        <f>IF($G140="","",INDEX('Passages List'!G$3:G$65,MATCH($G140,'Passages List'!$E$3:$E$65,1)))</f>
        <v>Cargo operations</v>
      </c>
      <c r="F140" t="s">
        <v>105</v>
      </c>
      <c r="G140" s="1">
        <v>46137.729166666664</v>
      </c>
      <c r="H140" t="s">
        <v>279</v>
      </c>
      <c r="I140" t="s">
        <v>150</v>
      </c>
      <c r="J140" t="s">
        <v>80</v>
      </c>
      <c r="L140" t="s">
        <v>102</v>
      </c>
      <c r="M140" t="s">
        <v>17</v>
      </c>
      <c r="N140" t="s">
        <v>17</v>
      </c>
      <c r="O140">
        <v>2.5</v>
      </c>
      <c r="P140">
        <v>1.1000000000000001</v>
      </c>
    </row>
    <row r="141" spans="1:16" x14ac:dyDescent="0.2">
      <c r="A141" t="str">
        <f>IF($G141="","",INDEX('Passages List'!B$3:B$65,MATCH($G141,'Passages List'!$E$3:$E$65,1)))</f>
        <v/>
      </c>
      <c r="B141" t="str">
        <f>IF($G141="","",INDEX('Passages List'!C$3:C$65,MATCH($G141,'Passages List'!$E$3:$E$65,1)))</f>
        <v>Hazira Port (Surat) Hbr (INHZA)</v>
      </c>
      <c r="C141" s="1">
        <f>IF($G141="","",INDEX('Passages List'!E$3:E$65,MATCH($G141,'Passages List'!$E$3:$E$65,1)))</f>
        <v>46136.604166666664</v>
      </c>
      <c r="D141" s="1">
        <f>IF($G141="","",INDEX('Passages List'!F$3:F$65,MATCH($G141,'Passages List'!$E$3:$E$65,1)))</f>
        <v>46139.20416666667</v>
      </c>
      <c r="E141" t="str">
        <f>IF($G141="","",INDEX('Passages List'!G$3:G$65,MATCH($G141,'Passages List'!$E$3:$E$65,1)))</f>
        <v>Cargo operations</v>
      </c>
      <c r="F141" t="s">
        <v>105</v>
      </c>
      <c r="G141" s="1">
        <v>46138.729166666664</v>
      </c>
      <c r="H141" t="s">
        <v>279</v>
      </c>
      <c r="I141" t="s">
        <v>150</v>
      </c>
      <c r="J141" t="s">
        <v>80</v>
      </c>
      <c r="L141" t="s">
        <v>102</v>
      </c>
      <c r="M141" t="s">
        <v>17</v>
      </c>
      <c r="N141" t="s">
        <v>17</v>
      </c>
      <c r="O141">
        <v>2.6</v>
      </c>
      <c r="P141">
        <v>1.1000000000000001</v>
      </c>
    </row>
    <row r="142" spans="1:16" x14ac:dyDescent="0.2">
      <c r="A142" t="str">
        <f>IF($G142="","",INDEX('Passages List'!B$3:B$65,MATCH($G142,'Passages List'!$E$3:$E$65,1)))</f>
        <v>Hazira Port (Surat) Hbr (INHZA)</v>
      </c>
      <c r="B142" t="str">
        <f>IF($G142="","",INDEX('Passages List'!C$3:C$65,MATCH($G142,'Passages List'!$E$3:$E$65,1)))</f>
        <v>New Mangalore (INNML)</v>
      </c>
      <c r="C142" s="1">
        <f>IF($G142="","",INDEX('Passages List'!E$3:E$65,MATCH($G142,'Passages List'!$E$3:$E$65,1)))</f>
        <v>46139.20416666667</v>
      </c>
      <c r="D142" s="1">
        <f>IF($G142="","",INDEX('Passages List'!F$3:F$65,MATCH($G142,'Passages List'!$E$3:$E$65,1)))</f>
        <v>46142.058333333334</v>
      </c>
      <c r="E142" t="str">
        <f>IF($G142="","",INDEX('Passages List'!G$3:G$65,MATCH($G142,'Passages List'!$E$3:$E$65,1)))</f>
        <v>Cargo</v>
      </c>
      <c r="F142" t="s">
        <v>106</v>
      </c>
      <c r="G142" s="1">
        <v>46139.20416666667</v>
      </c>
      <c r="H142" t="s">
        <v>279</v>
      </c>
      <c r="I142" t="s">
        <v>150</v>
      </c>
      <c r="J142" t="s">
        <v>81</v>
      </c>
      <c r="L142" t="s">
        <v>354</v>
      </c>
      <c r="M142" t="s">
        <v>17</v>
      </c>
      <c r="N142">
        <v>14085</v>
      </c>
      <c r="O142">
        <v>1</v>
      </c>
      <c r="P142">
        <v>0.5</v>
      </c>
    </row>
    <row r="143" spans="1:16" x14ac:dyDescent="0.2">
      <c r="A143" t="str">
        <f>IF($G143="","",INDEX('Passages List'!B$3:B$65,MATCH($G143,'Passages List'!$E$3:$E$65,1)))</f>
        <v>Hazira Port (Surat) Hbr (INHZA)</v>
      </c>
      <c r="B143" t="str">
        <f>IF($G143="","",INDEX('Passages List'!C$3:C$65,MATCH($G143,'Passages List'!$E$3:$E$65,1)))</f>
        <v>New Mangalore (INNML)</v>
      </c>
      <c r="C143" s="1">
        <f>IF($G143="","",INDEX('Passages List'!E$3:E$65,MATCH($G143,'Passages List'!$E$3:$E$65,1)))</f>
        <v>46139.20416666667</v>
      </c>
      <c r="D143" s="1">
        <f>IF($G143="","",INDEX('Passages List'!F$3:F$65,MATCH($G143,'Passages List'!$E$3:$E$65,1)))</f>
        <v>46142.058333333334</v>
      </c>
      <c r="E143" t="str">
        <f>IF($G143="","",INDEX('Passages List'!G$3:G$65,MATCH($G143,'Passages List'!$E$3:$E$65,1)))</f>
        <v>Cargo</v>
      </c>
      <c r="F143" t="s">
        <v>99</v>
      </c>
      <c r="G143" s="1">
        <v>46139.270833333336</v>
      </c>
      <c r="H143" t="s">
        <v>355</v>
      </c>
      <c r="I143" t="s">
        <v>356</v>
      </c>
      <c r="J143" t="s">
        <v>81</v>
      </c>
      <c r="K143" t="s">
        <v>623</v>
      </c>
      <c r="L143" t="s">
        <v>357</v>
      </c>
      <c r="M143">
        <v>14.5</v>
      </c>
      <c r="N143" t="s">
        <v>17</v>
      </c>
      <c r="O143">
        <v>1.5</v>
      </c>
      <c r="P143" t="s">
        <v>17</v>
      </c>
    </row>
    <row r="144" spans="1:16" x14ac:dyDescent="0.2">
      <c r="A144" t="str">
        <f>IF($G144="","",INDEX('Passages List'!B$3:B$65,MATCH($G144,'Passages List'!$E$3:$E$65,1)))</f>
        <v>Hazira Port (Surat) Hbr (INHZA)</v>
      </c>
      <c r="B144" t="str">
        <f>IF($G144="","",INDEX('Passages List'!C$3:C$65,MATCH($G144,'Passages List'!$E$3:$E$65,1)))</f>
        <v>New Mangalore (INNML)</v>
      </c>
      <c r="C144" s="1">
        <f>IF($G144="","",INDEX('Passages List'!E$3:E$65,MATCH($G144,'Passages List'!$E$3:$E$65,1)))</f>
        <v>46139.20416666667</v>
      </c>
      <c r="D144" s="1">
        <f>IF($G144="","",INDEX('Passages List'!F$3:F$65,MATCH($G144,'Passages List'!$E$3:$E$65,1)))</f>
        <v>46142.058333333334</v>
      </c>
      <c r="E144" t="str">
        <f>IF($G144="","",INDEX('Passages List'!G$3:G$65,MATCH($G144,'Passages List'!$E$3:$E$65,1)))</f>
        <v>Cargo</v>
      </c>
      <c r="F144" t="s">
        <v>99</v>
      </c>
      <c r="G144" s="1">
        <v>46139.729166666664</v>
      </c>
      <c r="H144" t="s">
        <v>358</v>
      </c>
      <c r="I144" t="s">
        <v>359</v>
      </c>
      <c r="J144" t="s">
        <v>81</v>
      </c>
      <c r="K144" t="s">
        <v>641</v>
      </c>
      <c r="L144" t="s">
        <v>335</v>
      </c>
      <c r="M144">
        <v>114</v>
      </c>
      <c r="N144" t="s">
        <v>17</v>
      </c>
      <c r="O144">
        <v>8</v>
      </c>
      <c r="P144" t="s">
        <v>17</v>
      </c>
    </row>
    <row r="145" spans="1:16" x14ac:dyDescent="0.2">
      <c r="A145" t="str">
        <f>IF($G145="","",INDEX('Passages List'!B$3:B$65,MATCH($G145,'Passages List'!$E$3:$E$65,1)))</f>
        <v>Hazira Port (Surat) Hbr (INHZA)</v>
      </c>
      <c r="B145" t="str">
        <f>IF($G145="","",INDEX('Passages List'!C$3:C$65,MATCH($G145,'Passages List'!$E$3:$E$65,1)))</f>
        <v>New Mangalore (INNML)</v>
      </c>
      <c r="C145" s="1">
        <f>IF($G145="","",INDEX('Passages List'!E$3:E$65,MATCH($G145,'Passages List'!$E$3:$E$65,1)))</f>
        <v>46139.20416666667</v>
      </c>
      <c r="D145" s="1">
        <f>IF($G145="","",INDEX('Passages List'!F$3:F$65,MATCH($G145,'Passages List'!$E$3:$E$65,1)))</f>
        <v>46142.058333333334</v>
      </c>
      <c r="E145" t="str">
        <f>IF($G145="","",INDEX('Passages List'!G$3:G$65,MATCH($G145,'Passages List'!$E$3:$E$65,1)))</f>
        <v>Cargo</v>
      </c>
      <c r="F145" t="s">
        <v>99</v>
      </c>
      <c r="G145" s="1">
        <v>46140.729166666664</v>
      </c>
      <c r="H145" t="s">
        <v>360</v>
      </c>
      <c r="I145" t="s">
        <v>361</v>
      </c>
      <c r="J145" t="s">
        <v>81</v>
      </c>
      <c r="K145" t="s">
        <v>641</v>
      </c>
      <c r="L145" t="s">
        <v>102</v>
      </c>
      <c r="M145">
        <v>251</v>
      </c>
      <c r="N145" t="s">
        <v>17</v>
      </c>
      <c r="O145">
        <v>15.3</v>
      </c>
      <c r="P145" t="s">
        <v>17</v>
      </c>
    </row>
    <row r="146" spans="1:16" x14ac:dyDescent="0.2">
      <c r="A146" t="str">
        <f>IF($G146="","",INDEX('Passages List'!B$3:B$65,MATCH($G146,'Passages List'!$E$3:$E$65,1)))</f>
        <v>Hazira Port (Surat) Hbr (INHZA)</v>
      </c>
      <c r="B146" t="str">
        <f>IF($G146="","",INDEX('Passages List'!C$3:C$65,MATCH($G146,'Passages List'!$E$3:$E$65,1)))</f>
        <v>New Mangalore (INNML)</v>
      </c>
      <c r="C146" s="1">
        <f>IF($G146="","",INDEX('Passages List'!E$3:E$65,MATCH($G146,'Passages List'!$E$3:$E$65,1)))</f>
        <v>46139.20416666667</v>
      </c>
      <c r="D146" s="1">
        <f>IF($G146="","",INDEX('Passages List'!F$3:F$65,MATCH($G146,'Passages List'!$E$3:$E$65,1)))</f>
        <v>46142.058333333334</v>
      </c>
      <c r="E146" t="str">
        <f>IF($G146="","",INDEX('Passages List'!G$3:G$65,MATCH($G146,'Passages List'!$E$3:$E$65,1)))</f>
        <v>Cargo</v>
      </c>
      <c r="F146" t="s">
        <v>99</v>
      </c>
      <c r="G146" s="1">
        <v>46141.287499999999</v>
      </c>
      <c r="H146" t="s">
        <v>362</v>
      </c>
      <c r="I146" t="s">
        <v>363</v>
      </c>
      <c r="J146" t="s">
        <v>81</v>
      </c>
      <c r="K146" t="s">
        <v>641</v>
      </c>
      <c r="L146" t="s">
        <v>364</v>
      </c>
      <c r="M146">
        <v>142</v>
      </c>
      <c r="N146" t="s">
        <v>17</v>
      </c>
      <c r="O146">
        <v>8.6999999999999993</v>
      </c>
      <c r="P146" t="s">
        <v>17</v>
      </c>
    </row>
    <row r="147" spans="1:16" x14ac:dyDescent="0.2">
      <c r="A147" t="str">
        <f>IF($G147="","",INDEX('Passages List'!B$3:B$65,MATCH($G147,'Passages List'!$E$3:$E$65,1)))</f>
        <v>Hazira Port (Surat) Hbr (INHZA)</v>
      </c>
      <c r="B147" t="str">
        <f>IF($G147="","",INDEX('Passages List'!C$3:C$65,MATCH($G147,'Passages List'!$E$3:$E$65,1)))</f>
        <v>New Mangalore (INNML)</v>
      </c>
      <c r="C147" s="1">
        <f>IF($G147="","",INDEX('Passages List'!E$3:E$65,MATCH($G147,'Passages List'!$E$3:$E$65,1)))</f>
        <v>46139.20416666667</v>
      </c>
      <c r="D147" s="1">
        <f>IF($G147="","",INDEX('Passages List'!F$3:F$65,MATCH($G147,'Passages List'!$E$3:$E$65,1)))</f>
        <v>46142.058333333334</v>
      </c>
      <c r="E147" t="str">
        <f>IF($G147="","",INDEX('Passages List'!G$3:G$65,MATCH($G147,'Passages List'!$E$3:$E$65,1)))</f>
        <v>Cargo</v>
      </c>
      <c r="F147" t="s">
        <v>99</v>
      </c>
      <c r="G147" s="1">
        <v>46141.35</v>
      </c>
      <c r="H147" t="s">
        <v>365</v>
      </c>
      <c r="I147" t="s">
        <v>366</v>
      </c>
      <c r="J147" t="s">
        <v>81</v>
      </c>
      <c r="K147" t="s">
        <v>624</v>
      </c>
      <c r="L147" t="s">
        <v>156</v>
      </c>
      <c r="M147">
        <v>8.5</v>
      </c>
      <c r="N147" t="s">
        <v>17</v>
      </c>
      <c r="O147">
        <v>0.7</v>
      </c>
      <c r="P147" t="s">
        <v>17</v>
      </c>
    </row>
    <row r="148" spans="1:16" x14ac:dyDescent="0.2">
      <c r="A148" t="str">
        <f>IF($G148="","",INDEX('Passages List'!B$3:B$65,MATCH($G148,'Passages List'!$E$3:$E$65,1)))</f>
        <v>Hazira Port (Surat) Hbr (INHZA)</v>
      </c>
      <c r="B148" t="str">
        <f>IF($G148="","",INDEX('Passages List'!C$3:C$65,MATCH($G148,'Passages List'!$E$3:$E$65,1)))</f>
        <v>New Mangalore (INNML)</v>
      </c>
      <c r="C148" s="1">
        <f>IF($G148="","",INDEX('Passages List'!E$3:E$65,MATCH($G148,'Passages List'!$E$3:$E$65,1)))</f>
        <v>46139.20416666667</v>
      </c>
      <c r="D148" s="1">
        <f>IF($G148="","",INDEX('Passages List'!F$3:F$65,MATCH($G148,'Passages List'!$E$3:$E$65,1)))</f>
        <v>46142.058333333334</v>
      </c>
      <c r="E148" t="str">
        <f>IF($G148="","",INDEX('Passages List'!G$3:G$65,MATCH($G148,'Passages List'!$E$3:$E$65,1)))</f>
        <v>Cargo</v>
      </c>
      <c r="F148" t="s">
        <v>99</v>
      </c>
      <c r="G148" s="1">
        <v>46141.729166666664</v>
      </c>
      <c r="H148" t="s">
        <v>367</v>
      </c>
      <c r="I148" t="s">
        <v>368</v>
      </c>
      <c r="J148" t="s">
        <v>81</v>
      </c>
      <c r="L148" t="s">
        <v>229</v>
      </c>
      <c r="M148" t="s">
        <v>17</v>
      </c>
      <c r="N148" t="s">
        <v>17</v>
      </c>
      <c r="O148">
        <v>0.7</v>
      </c>
      <c r="P148">
        <v>0.4</v>
      </c>
    </row>
    <row r="149" spans="1:16" x14ac:dyDescent="0.2">
      <c r="A149" t="str">
        <f>IF($G149="","",INDEX('Passages List'!B$3:B$65,MATCH($G149,'Passages List'!$E$3:$E$65,1)))</f>
        <v/>
      </c>
      <c r="B149" t="str">
        <f>IF($G149="","",INDEX('Passages List'!C$3:C$65,MATCH($G149,'Passages List'!$E$3:$E$65,1)))</f>
        <v>New Mangalore (INNML)</v>
      </c>
      <c r="C149" s="1">
        <f>IF($G149="","",INDEX('Passages List'!E$3:E$65,MATCH($G149,'Passages List'!$E$3:$E$65,1)))</f>
        <v>46142.058333333334</v>
      </c>
      <c r="D149" s="1">
        <f>IF($G149="","",INDEX('Passages List'!F$3:F$65,MATCH($G149,'Passages List'!$E$3:$E$65,1)))</f>
        <v>46142.737500000003</v>
      </c>
      <c r="E149" t="str">
        <f>IF($G149="","",INDEX('Passages List'!G$3:G$65,MATCH($G149,'Passages List'!$E$3:$E$65,1)))</f>
        <v>Cargo operations</v>
      </c>
      <c r="F149" t="s">
        <v>104</v>
      </c>
      <c r="G149" s="1">
        <v>46142.058333333334</v>
      </c>
      <c r="H149" t="s">
        <v>369</v>
      </c>
      <c r="I149" t="s">
        <v>370</v>
      </c>
      <c r="J149" t="s">
        <v>81</v>
      </c>
      <c r="L149" t="s">
        <v>371</v>
      </c>
      <c r="M149">
        <v>12.5</v>
      </c>
      <c r="N149">
        <v>14085</v>
      </c>
      <c r="O149">
        <v>1.3</v>
      </c>
      <c r="P149">
        <v>0.2</v>
      </c>
    </row>
    <row r="150" spans="1:16" x14ac:dyDescent="0.2">
      <c r="A150" t="str">
        <f>IF($G150="","",INDEX('Passages List'!B$3:B$65,MATCH($G150,'Passages List'!$E$3:$E$65,1)))</f>
        <v/>
      </c>
      <c r="B150" t="str">
        <f>IF($G150="","",INDEX('Passages List'!C$3:C$65,MATCH($G150,'Passages List'!$E$3:$E$65,1)))</f>
        <v>New Mangalore (INNML)</v>
      </c>
      <c r="C150" s="1">
        <f>IF($G150="","",INDEX('Passages List'!E$3:E$65,MATCH($G150,'Passages List'!$E$3:$E$65,1)))</f>
        <v>46142.058333333334</v>
      </c>
      <c r="D150" s="1">
        <f>IF($G150="","",INDEX('Passages List'!F$3:F$65,MATCH($G150,'Passages List'!$E$3:$E$65,1)))</f>
        <v>46142.737500000003</v>
      </c>
      <c r="E150" t="str">
        <f>IF($G150="","",INDEX('Passages List'!G$3:G$65,MATCH($G150,'Passages List'!$E$3:$E$65,1)))</f>
        <v>Cargo operations</v>
      </c>
      <c r="F150" t="s">
        <v>105</v>
      </c>
      <c r="G150" s="1">
        <v>46142.729166666664</v>
      </c>
      <c r="H150" t="s">
        <v>369</v>
      </c>
      <c r="I150" t="s">
        <v>370</v>
      </c>
      <c r="J150" t="s">
        <v>81</v>
      </c>
      <c r="L150" t="s">
        <v>372</v>
      </c>
      <c r="M150" t="s">
        <v>17</v>
      </c>
      <c r="N150" t="s">
        <v>17</v>
      </c>
      <c r="O150">
        <v>1.8</v>
      </c>
      <c r="P150">
        <v>0.7</v>
      </c>
    </row>
    <row r="151" spans="1:16" x14ac:dyDescent="0.2">
      <c r="A151" t="str">
        <f>IF($G151="","",INDEX('Passages List'!B$3:B$65,MATCH($G151,'Passages List'!$E$3:$E$65,1)))</f>
        <v>New Mangalore (INNML)</v>
      </c>
      <c r="B151" t="str">
        <f>IF($G151="","",INDEX('Passages List'!C$3:C$65,MATCH($G151,'Passages List'!$E$3:$E$65,1)))</f>
        <v>Chennai (ex Madras) (INMAA)</v>
      </c>
      <c r="C151" s="1">
        <f>IF($G151="","",INDEX('Passages List'!E$3:E$65,MATCH($G151,'Passages List'!$E$3:$E$65,1)))</f>
        <v>46142.737500000003</v>
      </c>
      <c r="D151" s="1">
        <f>IF($G151="","",INDEX('Passages List'!F$3:F$65,MATCH($G151,'Passages List'!$E$3:$E$65,1)))</f>
        <v>46147.23333333333</v>
      </c>
      <c r="E151" t="str">
        <f>IF($G151="","",INDEX('Passages List'!G$3:G$65,MATCH($G151,'Passages List'!$E$3:$E$65,1)))</f>
        <v>Cargo</v>
      </c>
      <c r="F151" t="s">
        <v>106</v>
      </c>
      <c r="G151" s="1">
        <v>46142.737500000003</v>
      </c>
      <c r="H151" t="s">
        <v>369</v>
      </c>
      <c r="I151" t="s">
        <v>370</v>
      </c>
      <c r="J151" t="s">
        <v>81</v>
      </c>
      <c r="L151" t="s">
        <v>373</v>
      </c>
      <c r="M151" t="s">
        <v>17</v>
      </c>
      <c r="N151">
        <v>11853</v>
      </c>
      <c r="O151">
        <v>0.2</v>
      </c>
      <c r="P151" t="s">
        <v>17</v>
      </c>
    </row>
    <row r="152" spans="1:16" x14ac:dyDescent="0.2">
      <c r="A152" t="str">
        <f>IF($G152="","",INDEX('Passages List'!B$3:B$65,MATCH($G152,'Passages List'!$E$3:$E$65,1)))</f>
        <v>New Mangalore (INNML)</v>
      </c>
      <c r="B152" t="str">
        <f>IF($G152="","",INDEX('Passages List'!C$3:C$65,MATCH($G152,'Passages List'!$E$3:$E$65,1)))</f>
        <v>Chennai (ex Madras) (INMAA)</v>
      </c>
      <c r="C152" s="1">
        <f>IF($G152="","",INDEX('Passages List'!E$3:E$65,MATCH($G152,'Passages List'!$E$3:$E$65,1)))</f>
        <v>46142.737500000003</v>
      </c>
      <c r="D152" s="1">
        <f>IF($G152="","",INDEX('Passages List'!F$3:F$65,MATCH($G152,'Passages List'!$E$3:$E$65,1)))</f>
        <v>46147.23333333333</v>
      </c>
      <c r="E152" t="str">
        <f>IF($G152="","",INDEX('Passages List'!G$3:G$65,MATCH($G152,'Passages List'!$E$3:$E$65,1)))</f>
        <v>Cargo</v>
      </c>
      <c r="F152" t="s">
        <v>99</v>
      </c>
      <c r="G152" s="1">
        <v>46142.770833333336</v>
      </c>
      <c r="H152" t="s">
        <v>374</v>
      </c>
      <c r="I152" t="s">
        <v>375</v>
      </c>
      <c r="J152" t="s">
        <v>81</v>
      </c>
      <c r="K152" t="s">
        <v>623</v>
      </c>
      <c r="L152" t="s">
        <v>113</v>
      </c>
      <c r="M152">
        <v>6</v>
      </c>
      <c r="N152" t="s">
        <v>17</v>
      </c>
      <c r="O152">
        <v>0.3</v>
      </c>
      <c r="P152" t="s">
        <v>17</v>
      </c>
    </row>
    <row r="153" spans="1:16" x14ac:dyDescent="0.2">
      <c r="A153" t="str">
        <f>IF($G153="","",INDEX('Passages List'!B$3:B$65,MATCH($G153,'Passages List'!$E$3:$E$65,1)))</f>
        <v>New Mangalore (INNML)</v>
      </c>
      <c r="B153" t="str">
        <f>IF($G153="","",INDEX('Passages List'!C$3:C$65,MATCH($G153,'Passages List'!$E$3:$E$65,1)))</f>
        <v>Chennai (ex Madras) (INMAA)</v>
      </c>
      <c r="C153" s="1">
        <f>IF($G153="","",INDEX('Passages List'!E$3:E$65,MATCH($G153,'Passages List'!$E$3:$E$65,1)))</f>
        <v>46142.737500000003</v>
      </c>
      <c r="D153" s="1">
        <f>IF($G153="","",INDEX('Passages List'!F$3:F$65,MATCH($G153,'Passages List'!$E$3:$E$65,1)))</f>
        <v>46147.23333333333</v>
      </c>
      <c r="E153" t="str">
        <f>IF($G153="","",INDEX('Passages List'!G$3:G$65,MATCH($G153,'Passages List'!$E$3:$E$65,1)))</f>
        <v>Cargo</v>
      </c>
      <c r="F153" t="s">
        <v>99</v>
      </c>
      <c r="G153" s="1">
        <v>46143.729166666664</v>
      </c>
      <c r="H153" t="s">
        <v>376</v>
      </c>
      <c r="I153" t="s">
        <v>377</v>
      </c>
      <c r="J153" t="s">
        <v>81</v>
      </c>
      <c r="K153" t="s">
        <v>641</v>
      </c>
      <c r="L153" t="s">
        <v>317</v>
      </c>
      <c r="M153">
        <v>248</v>
      </c>
      <c r="N153" t="s">
        <v>17</v>
      </c>
      <c r="O153">
        <v>14.3</v>
      </c>
      <c r="P153" t="s">
        <v>17</v>
      </c>
    </row>
    <row r="154" spans="1:16" x14ac:dyDescent="0.2">
      <c r="A154" t="str">
        <f>IF($G154="","",INDEX('Passages List'!B$3:B$65,MATCH($G154,'Passages List'!$E$3:$E$65,1)))</f>
        <v>New Mangalore (INNML)</v>
      </c>
      <c r="B154" t="str">
        <f>IF($G154="","",INDEX('Passages List'!C$3:C$65,MATCH($G154,'Passages List'!$E$3:$E$65,1)))</f>
        <v>Chennai (ex Madras) (INMAA)</v>
      </c>
      <c r="C154" s="1">
        <f>IF($G154="","",INDEX('Passages List'!E$3:E$65,MATCH($G154,'Passages List'!$E$3:$E$65,1)))</f>
        <v>46142.737500000003</v>
      </c>
      <c r="D154" s="1">
        <f>IF($G154="","",INDEX('Passages List'!F$3:F$65,MATCH($G154,'Passages List'!$E$3:$E$65,1)))</f>
        <v>46147.23333333333</v>
      </c>
      <c r="E154" t="str">
        <f>IF($G154="","",INDEX('Passages List'!G$3:G$65,MATCH($G154,'Passages List'!$E$3:$E$65,1)))</f>
        <v>Cargo</v>
      </c>
      <c r="F154" t="s">
        <v>99</v>
      </c>
      <c r="G154" s="1">
        <v>46144.729166666664</v>
      </c>
      <c r="H154" t="s">
        <v>378</v>
      </c>
      <c r="I154" t="s">
        <v>379</v>
      </c>
      <c r="J154" t="s">
        <v>81</v>
      </c>
      <c r="K154" t="s">
        <v>641</v>
      </c>
      <c r="L154" t="s">
        <v>102</v>
      </c>
      <c r="M154">
        <v>265</v>
      </c>
      <c r="N154" t="s">
        <v>17</v>
      </c>
      <c r="O154">
        <v>15.3</v>
      </c>
      <c r="P154" t="s">
        <v>17</v>
      </c>
    </row>
    <row r="155" spans="1:16" x14ac:dyDescent="0.2">
      <c r="A155" t="str">
        <f>IF($G155="","",INDEX('Passages List'!B$3:B$65,MATCH($G155,'Passages List'!$E$3:$E$65,1)))</f>
        <v>New Mangalore (INNML)</v>
      </c>
      <c r="B155" t="str">
        <f>IF($G155="","",INDEX('Passages List'!C$3:C$65,MATCH($G155,'Passages List'!$E$3:$E$65,1)))</f>
        <v>Chennai (ex Madras) (INMAA)</v>
      </c>
      <c r="C155" s="1">
        <f>IF($G155="","",INDEX('Passages List'!E$3:E$65,MATCH($G155,'Passages List'!$E$3:$E$65,1)))</f>
        <v>46142.737500000003</v>
      </c>
      <c r="D155" s="1">
        <f>IF($G155="","",INDEX('Passages List'!F$3:F$65,MATCH($G155,'Passages List'!$E$3:$E$65,1)))</f>
        <v>46147.23333333333</v>
      </c>
      <c r="E155" t="str">
        <f>IF($G155="","",INDEX('Passages List'!G$3:G$65,MATCH($G155,'Passages List'!$E$3:$E$65,1)))</f>
        <v>Cargo</v>
      </c>
      <c r="F155" t="s">
        <v>99</v>
      </c>
      <c r="G155" s="1">
        <v>46145.729166666664</v>
      </c>
      <c r="H155" t="s">
        <v>380</v>
      </c>
      <c r="I155" t="s">
        <v>381</v>
      </c>
      <c r="J155" t="s">
        <v>81</v>
      </c>
      <c r="K155" t="s">
        <v>641</v>
      </c>
      <c r="L155" t="s">
        <v>102</v>
      </c>
      <c r="M155">
        <v>267</v>
      </c>
      <c r="N155" t="s">
        <v>17</v>
      </c>
      <c r="O155">
        <v>15.4</v>
      </c>
      <c r="P155" t="s">
        <v>17</v>
      </c>
    </row>
    <row r="156" spans="1:16" x14ac:dyDescent="0.2">
      <c r="A156" t="str">
        <f>IF($G156="","",INDEX('Passages List'!B$3:B$65,MATCH($G156,'Passages List'!$E$3:$E$65,1)))</f>
        <v>New Mangalore (INNML)</v>
      </c>
      <c r="B156" t="str">
        <f>IF($G156="","",INDEX('Passages List'!C$3:C$65,MATCH($G156,'Passages List'!$E$3:$E$65,1)))</f>
        <v>Chennai (ex Madras) (INMAA)</v>
      </c>
      <c r="C156" s="1">
        <f>IF($G156="","",INDEX('Passages List'!E$3:E$65,MATCH($G156,'Passages List'!$E$3:$E$65,1)))</f>
        <v>46142.737500000003</v>
      </c>
      <c r="D156" s="1">
        <f>IF($G156="","",INDEX('Passages List'!F$3:F$65,MATCH($G156,'Passages List'!$E$3:$E$65,1)))</f>
        <v>46147.23333333333</v>
      </c>
      <c r="E156" t="str">
        <f>IF($G156="","",INDEX('Passages List'!G$3:G$65,MATCH($G156,'Passages List'!$E$3:$E$65,1)))</f>
        <v>Cargo</v>
      </c>
      <c r="F156" t="s">
        <v>99</v>
      </c>
      <c r="G156" s="1">
        <v>46146.729166666664</v>
      </c>
      <c r="H156" t="s">
        <v>382</v>
      </c>
      <c r="I156" t="s">
        <v>383</v>
      </c>
      <c r="J156" t="s">
        <v>81</v>
      </c>
      <c r="K156" t="s">
        <v>641</v>
      </c>
      <c r="L156" t="s">
        <v>102</v>
      </c>
      <c r="M156">
        <v>268</v>
      </c>
      <c r="N156" t="s">
        <v>17</v>
      </c>
      <c r="O156">
        <v>15.5</v>
      </c>
      <c r="P156" t="s">
        <v>17</v>
      </c>
    </row>
    <row r="157" spans="1:16" x14ac:dyDescent="0.2">
      <c r="A157" t="str">
        <f>IF($G157="","",INDEX('Passages List'!B$3:B$65,MATCH($G157,'Passages List'!$E$3:$E$65,1)))</f>
        <v>New Mangalore (INNML)</v>
      </c>
      <c r="B157" t="str">
        <f>IF($G157="","",INDEX('Passages List'!C$3:C$65,MATCH($G157,'Passages List'!$E$3:$E$65,1)))</f>
        <v>Chennai (ex Madras) (INMAA)</v>
      </c>
      <c r="C157" s="1">
        <f>IF($G157="","",INDEX('Passages List'!E$3:E$65,MATCH($G157,'Passages List'!$E$3:$E$65,1)))</f>
        <v>46142.737500000003</v>
      </c>
      <c r="D157" s="1">
        <f>IF($G157="","",INDEX('Passages List'!F$3:F$65,MATCH($G157,'Passages List'!$E$3:$E$65,1)))</f>
        <v>46147.23333333333</v>
      </c>
      <c r="E157" t="str">
        <f>IF($G157="","",INDEX('Passages List'!G$3:G$65,MATCH($G157,'Passages List'!$E$3:$E$65,1)))</f>
        <v>Cargo</v>
      </c>
      <c r="F157" t="s">
        <v>99</v>
      </c>
      <c r="G157" s="1">
        <v>46147.0625</v>
      </c>
      <c r="H157" t="s">
        <v>384</v>
      </c>
      <c r="I157" t="s">
        <v>385</v>
      </c>
      <c r="J157" t="s">
        <v>81</v>
      </c>
      <c r="K157" t="s">
        <v>641</v>
      </c>
      <c r="L157" t="s">
        <v>226</v>
      </c>
      <c r="M157">
        <v>89.3</v>
      </c>
      <c r="N157" t="s">
        <v>17</v>
      </c>
      <c r="O157">
        <v>5.6</v>
      </c>
      <c r="P157" t="s">
        <v>17</v>
      </c>
    </row>
    <row r="158" spans="1:16" x14ac:dyDescent="0.2">
      <c r="A158" t="str">
        <f>IF($G158="","",INDEX('Passages List'!B$3:B$65,MATCH($G158,'Passages List'!$E$3:$E$65,1)))</f>
        <v/>
      </c>
      <c r="B158" t="str">
        <f>IF($G158="","",INDEX('Passages List'!C$3:C$65,MATCH($G158,'Passages List'!$E$3:$E$65,1)))</f>
        <v>Chennai (ex Madras) (INMAA)</v>
      </c>
      <c r="C158" s="1">
        <f>IF($G158="","",INDEX('Passages List'!E$3:E$65,MATCH($G158,'Passages List'!$E$3:$E$65,1)))</f>
        <v>46147.23333333333</v>
      </c>
      <c r="D158" s="1">
        <f>IF($G158="","",INDEX('Passages List'!F$3:F$65,MATCH($G158,'Passages List'!$E$3:$E$65,1)))</f>
        <v>46148.513888888891</v>
      </c>
      <c r="E158" t="str">
        <f>IF($G158="","",INDEX('Passages List'!G$3:G$65,MATCH($G158,'Passages List'!$E$3:$E$65,1)))</f>
        <v>Cargo operations</v>
      </c>
      <c r="F158" t="s">
        <v>104</v>
      </c>
      <c r="G158" s="1">
        <v>46147.23333333333</v>
      </c>
      <c r="H158" t="s">
        <v>386</v>
      </c>
      <c r="I158" t="s">
        <v>387</v>
      </c>
      <c r="J158" t="s">
        <v>81</v>
      </c>
      <c r="K158" t="s">
        <v>624</v>
      </c>
      <c r="L158" t="s">
        <v>388</v>
      </c>
      <c r="M158">
        <v>13.4</v>
      </c>
      <c r="N158">
        <v>11853</v>
      </c>
      <c r="O158">
        <v>1.6</v>
      </c>
      <c r="P158">
        <v>0.1</v>
      </c>
    </row>
    <row r="159" spans="1:16" x14ac:dyDescent="0.2">
      <c r="A159" t="str">
        <f>IF($G159="","",INDEX('Passages List'!B$3:B$65,MATCH($G159,'Passages List'!$E$3:$E$65,1)))</f>
        <v/>
      </c>
      <c r="B159" t="str">
        <f>IF($G159="","",INDEX('Passages List'!C$3:C$65,MATCH($G159,'Passages List'!$E$3:$E$65,1)))</f>
        <v>Chennai (ex Madras) (INMAA)</v>
      </c>
      <c r="C159" s="1">
        <f>IF($G159="","",INDEX('Passages List'!E$3:E$65,MATCH($G159,'Passages List'!$E$3:$E$65,1)))</f>
        <v>46147.23333333333</v>
      </c>
      <c r="D159" s="1">
        <f>IF($G159="","",INDEX('Passages List'!F$3:F$65,MATCH($G159,'Passages List'!$E$3:$E$65,1)))</f>
        <v>46148.513888888891</v>
      </c>
      <c r="E159" t="str">
        <f>IF($G159="","",INDEX('Passages List'!G$3:G$65,MATCH($G159,'Passages List'!$E$3:$E$65,1)))</f>
        <v>Cargo operations</v>
      </c>
      <c r="F159" t="s">
        <v>105</v>
      </c>
      <c r="G159" s="1">
        <v>46147.729166666664</v>
      </c>
      <c r="H159" t="s">
        <v>386</v>
      </c>
      <c r="I159" t="s">
        <v>387</v>
      </c>
      <c r="J159" t="s">
        <v>81</v>
      </c>
      <c r="L159" t="s">
        <v>389</v>
      </c>
      <c r="M159" t="s">
        <v>17</v>
      </c>
      <c r="N159" t="s">
        <v>17</v>
      </c>
      <c r="O159">
        <v>1.3</v>
      </c>
      <c r="P159">
        <v>0.3</v>
      </c>
    </row>
    <row r="160" spans="1:16" x14ac:dyDescent="0.2">
      <c r="A160" t="str">
        <f>IF($G160="","",INDEX('Passages List'!B$3:B$65,MATCH($G160,'Passages List'!$E$3:$E$65,1)))</f>
        <v>Chennai (ex Madras) (INMAA)</v>
      </c>
      <c r="B160" t="str">
        <f>IF($G160="","",INDEX('Passages List'!C$3:C$65,MATCH($G160,'Passages List'!$E$3:$E$65,1)))</f>
        <v>Hazira Port (Surat) Hbr (INHZA)</v>
      </c>
      <c r="C160" s="1">
        <f>IF($G160="","",INDEX('Passages List'!E$3:E$65,MATCH($G160,'Passages List'!$E$3:$E$65,1)))</f>
        <v>46148.513888888891</v>
      </c>
      <c r="D160" s="1">
        <f>IF($G160="","",INDEX('Passages List'!F$3:F$65,MATCH($G160,'Passages List'!$E$3:$E$65,1)))</f>
        <v>46159.9375</v>
      </c>
      <c r="E160" t="str">
        <f>IF($G160="","",INDEX('Passages List'!G$3:G$65,MATCH($G160,'Passages List'!$E$3:$E$65,1)))</f>
        <v>Ballast</v>
      </c>
      <c r="F160" t="s">
        <v>106</v>
      </c>
      <c r="G160" s="1">
        <v>46148.513888888891</v>
      </c>
      <c r="H160" t="s">
        <v>386</v>
      </c>
      <c r="I160" t="s">
        <v>387</v>
      </c>
      <c r="J160" t="s">
        <v>82</v>
      </c>
      <c r="L160" t="s">
        <v>390</v>
      </c>
      <c r="M160" t="s">
        <v>17</v>
      </c>
      <c r="N160" t="s">
        <v>17</v>
      </c>
      <c r="O160">
        <v>1.9</v>
      </c>
      <c r="P160">
        <v>0.8</v>
      </c>
    </row>
    <row r="161" spans="1:16" x14ac:dyDescent="0.2">
      <c r="A161" t="str">
        <f>IF($G161="","",INDEX('Passages List'!B$3:B$65,MATCH($G161,'Passages List'!$E$3:$E$65,1)))</f>
        <v>Chennai (ex Madras) (INMAA)</v>
      </c>
      <c r="B161" t="str">
        <f>IF($G161="","",INDEX('Passages List'!C$3:C$65,MATCH($G161,'Passages List'!$E$3:$E$65,1)))</f>
        <v>Hazira Port (Surat) Hbr (INHZA)</v>
      </c>
      <c r="C161" s="1">
        <f>IF($G161="","",INDEX('Passages List'!E$3:E$65,MATCH($G161,'Passages List'!$E$3:$E$65,1)))</f>
        <v>46148.513888888891</v>
      </c>
      <c r="D161" s="1">
        <f>IF($G161="","",INDEX('Passages List'!F$3:F$65,MATCH($G161,'Passages List'!$E$3:$E$65,1)))</f>
        <v>46159.9375</v>
      </c>
      <c r="E161" t="str">
        <f>IF($G161="","",INDEX('Passages List'!G$3:G$65,MATCH($G161,'Passages List'!$E$3:$E$65,1)))</f>
        <v>Ballast</v>
      </c>
      <c r="F161" t="s">
        <v>99</v>
      </c>
      <c r="G161" s="1">
        <v>46148.570833333331</v>
      </c>
      <c r="H161" t="s">
        <v>391</v>
      </c>
      <c r="I161" t="s">
        <v>392</v>
      </c>
      <c r="J161" t="s">
        <v>82</v>
      </c>
      <c r="K161" t="s">
        <v>623</v>
      </c>
      <c r="L161" t="s">
        <v>393</v>
      </c>
      <c r="M161">
        <v>10</v>
      </c>
      <c r="N161" t="s">
        <v>17</v>
      </c>
      <c r="O161">
        <v>0.9</v>
      </c>
      <c r="P161">
        <v>0.1</v>
      </c>
    </row>
    <row r="162" spans="1:16" x14ac:dyDescent="0.2">
      <c r="A162" t="str">
        <f>IF($G162="","",INDEX('Passages List'!B$3:B$65,MATCH($G162,'Passages List'!$E$3:$E$65,1)))</f>
        <v>Chennai (ex Madras) (INMAA)</v>
      </c>
      <c r="B162" t="str">
        <f>IF($G162="","",INDEX('Passages List'!C$3:C$65,MATCH($G162,'Passages List'!$E$3:$E$65,1)))</f>
        <v>Hazira Port (Surat) Hbr (INHZA)</v>
      </c>
      <c r="C162" s="1">
        <f>IF($G162="","",INDEX('Passages List'!E$3:E$65,MATCH($G162,'Passages List'!$E$3:$E$65,1)))</f>
        <v>46148.513888888891</v>
      </c>
      <c r="D162" s="1">
        <f>IF($G162="","",INDEX('Passages List'!F$3:F$65,MATCH($G162,'Passages List'!$E$3:$E$65,1)))</f>
        <v>46159.9375</v>
      </c>
      <c r="E162" t="str">
        <f>IF($G162="","",INDEX('Passages List'!G$3:G$65,MATCH($G162,'Passages List'!$E$3:$E$65,1)))</f>
        <v>Ballast</v>
      </c>
      <c r="F162" t="s">
        <v>99</v>
      </c>
      <c r="G162" s="1">
        <v>46148.729166666664</v>
      </c>
      <c r="H162" t="s">
        <v>394</v>
      </c>
      <c r="I162" t="s">
        <v>395</v>
      </c>
      <c r="J162" t="s">
        <v>82</v>
      </c>
      <c r="K162" t="s">
        <v>641</v>
      </c>
      <c r="L162" t="s">
        <v>396</v>
      </c>
      <c r="M162">
        <v>44</v>
      </c>
      <c r="N162" t="s">
        <v>17</v>
      </c>
      <c r="O162">
        <v>2.7</v>
      </c>
      <c r="P162" t="s">
        <v>17</v>
      </c>
    </row>
    <row r="163" spans="1:16" x14ac:dyDescent="0.2">
      <c r="A163" t="str">
        <f>IF($G163="","",INDEX('Passages List'!B$3:B$65,MATCH($G163,'Passages List'!$E$3:$E$65,1)))</f>
        <v>Chennai (ex Madras) (INMAA)</v>
      </c>
      <c r="B163" t="str">
        <f>IF($G163="","",INDEX('Passages List'!C$3:C$65,MATCH($G163,'Passages List'!$E$3:$E$65,1)))</f>
        <v>Hazira Port (Surat) Hbr (INHZA)</v>
      </c>
      <c r="C163" s="1">
        <f>IF($G163="","",INDEX('Passages List'!E$3:E$65,MATCH($G163,'Passages List'!$E$3:$E$65,1)))</f>
        <v>46148.513888888891</v>
      </c>
      <c r="D163" s="1">
        <f>IF($G163="","",INDEX('Passages List'!F$3:F$65,MATCH($G163,'Passages List'!$E$3:$E$65,1)))</f>
        <v>46159.9375</v>
      </c>
      <c r="E163" t="str">
        <f>IF($G163="","",INDEX('Passages List'!G$3:G$65,MATCH($G163,'Passages List'!$E$3:$E$65,1)))</f>
        <v>Ballast</v>
      </c>
      <c r="F163" t="s">
        <v>99</v>
      </c>
      <c r="G163" s="1">
        <v>46149.729166666664</v>
      </c>
      <c r="H163" t="s">
        <v>397</v>
      </c>
      <c r="I163" t="s">
        <v>398</v>
      </c>
      <c r="J163" t="s">
        <v>82</v>
      </c>
      <c r="K163" t="s">
        <v>641</v>
      </c>
      <c r="L163" t="s">
        <v>102</v>
      </c>
      <c r="M163">
        <v>269</v>
      </c>
      <c r="N163" t="s">
        <v>17</v>
      </c>
      <c r="O163">
        <v>15</v>
      </c>
      <c r="P163" t="s">
        <v>17</v>
      </c>
    </row>
    <row r="164" spans="1:16" x14ac:dyDescent="0.2">
      <c r="A164" t="str">
        <f>IF($G164="","",INDEX('Passages List'!B$3:B$65,MATCH($G164,'Passages List'!$E$3:$E$65,1)))</f>
        <v>Chennai (ex Madras) (INMAA)</v>
      </c>
      <c r="B164" t="str">
        <f>IF($G164="","",INDEX('Passages List'!C$3:C$65,MATCH($G164,'Passages List'!$E$3:$E$65,1)))</f>
        <v>Hazira Port (Surat) Hbr (INHZA)</v>
      </c>
      <c r="C164" s="1">
        <f>IF($G164="","",INDEX('Passages List'!E$3:E$65,MATCH($G164,'Passages List'!$E$3:$E$65,1)))</f>
        <v>46148.513888888891</v>
      </c>
      <c r="D164" s="1">
        <f>IF($G164="","",INDEX('Passages List'!F$3:F$65,MATCH($G164,'Passages List'!$E$3:$E$65,1)))</f>
        <v>46159.9375</v>
      </c>
      <c r="E164" t="str">
        <f>IF($G164="","",INDEX('Passages List'!G$3:G$65,MATCH($G164,'Passages List'!$E$3:$E$65,1)))</f>
        <v>Ballast</v>
      </c>
      <c r="F164" t="s">
        <v>99</v>
      </c>
      <c r="G164" s="1">
        <v>46150.729166666664</v>
      </c>
      <c r="H164" t="s">
        <v>399</v>
      </c>
      <c r="I164" t="s">
        <v>400</v>
      </c>
      <c r="J164" t="s">
        <v>82</v>
      </c>
      <c r="K164" t="s">
        <v>641</v>
      </c>
      <c r="L164" t="s">
        <v>102</v>
      </c>
      <c r="M164">
        <v>283.5</v>
      </c>
      <c r="N164" t="s">
        <v>17</v>
      </c>
      <c r="O164">
        <v>14.9</v>
      </c>
      <c r="P164" t="s">
        <v>17</v>
      </c>
    </row>
    <row r="165" spans="1:16" x14ac:dyDescent="0.2">
      <c r="A165" t="str">
        <f>IF($G165="","",INDEX('Passages List'!B$3:B$65,MATCH($G165,'Passages List'!$E$3:$E$65,1)))</f>
        <v>Chennai (ex Madras) (INMAA)</v>
      </c>
      <c r="B165" t="str">
        <f>IF($G165="","",INDEX('Passages List'!C$3:C$65,MATCH($G165,'Passages List'!$E$3:$E$65,1)))</f>
        <v>Hazira Port (Surat) Hbr (INHZA)</v>
      </c>
      <c r="C165" s="1">
        <f>IF($G165="","",INDEX('Passages List'!E$3:E$65,MATCH($G165,'Passages List'!$E$3:$E$65,1)))</f>
        <v>46148.513888888891</v>
      </c>
      <c r="D165" s="1">
        <f>IF($G165="","",INDEX('Passages List'!F$3:F$65,MATCH($G165,'Passages List'!$E$3:$E$65,1)))</f>
        <v>46159.9375</v>
      </c>
      <c r="E165" t="str">
        <f>IF($G165="","",INDEX('Passages List'!G$3:G$65,MATCH($G165,'Passages List'!$E$3:$E$65,1)))</f>
        <v>Ballast</v>
      </c>
      <c r="F165" t="s">
        <v>99</v>
      </c>
      <c r="G165" s="1">
        <v>46151.729166666664</v>
      </c>
      <c r="H165" t="s">
        <v>401</v>
      </c>
      <c r="I165" t="s">
        <v>402</v>
      </c>
      <c r="J165" t="s">
        <v>82</v>
      </c>
      <c r="K165" t="s">
        <v>641</v>
      </c>
      <c r="L165" t="s">
        <v>102</v>
      </c>
      <c r="M165">
        <v>230</v>
      </c>
      <c r="N165" t="s">
        <v>17</v>
      </c>
      <c r="O165">
        <v>14.7</v>
      </c>
      <c r="P165" t="s">
        <v>17</v>
      </c>
    </row>
    <row r="166" spans="1:16" x14ac:dyDescent="0.2">
      <c r="A166" t="str">
        <f>IF($G166="","",INDEX('Passages List'!B$3:B$65,MATCH($G166,'Passages List'!$E$3:$E$65,1)))</f>
        <v>Chennai (ex Madras) (INMAA)</v>
      </c>
      <c r="B166" t="str">
        <f>IF($G166="","",INDEX('Passages List'!C$3:C$65,MATCH($G166,'Passages List'!$E$3:$E$65,1)))</f>
        <v>Hazira Port (Surat) Hbr (INHZA)</v>
      </c>
      <c r="C166" s="1">
        <f>IF($G166="","",INDEX('Passages List'!E$3:E$65,MATCH($G166,'Passages List'!$E$3:$E$65,1)))</f>
        <v>46148.513888888891</v>
      </c>
      <c r="D166" s="1">
        <f>IF($G166="","",INDEX('Passages List'!F$3:F$65,MATCH($G166,'Passages List'!$E$3:$E$65,1)))</f>
        <v>46159.9375</v>
      </c>
      <c r="E166" t="str">
        <f>IF($G166="","",INDEX('Passages List'!G$3:G$65,MATCH($G166,'Passages List'!$E$3:$E$65,1)))</f>
        <v>Ballast</v>
      </c>
      <c r="F166" t="s">
        <v>99</v>
      </c>
      <c r="G166" s="1">
        <v>46152.729166666664</v>
      </c>
      <c r="H166" t="s">
        <v>403</v>
      </c>
      <c r="I166" t="s">
        <v>404</v>
      </c>
      <c r="J166" t="s">
        <v>82</v>
      </c>
      <c r="K166" t="s">
        <v>641</v>
      </c>
      <c r="L166" t="s">
        <v>102</v>
      </c>
      <c r="M166">
        <v>263</v>
      </c>
      <c r="N166" t="s">
        <v>17</v>
      </c>
      <c r="O166">
        <v>14.9</v>
      </c>
      <c r="P166" t="s">
        <v>17</v>
      </c>
    </row>
    <row r="167" spans="1:16" x14ac:dyDescent="0.2">
      <c r="A167" t="str">
        <f>IF($G167="","",INDEX('Passages List'!B$3:B$65,MATCH($G167,'Passages List'!$E$3:$E$65,1)))</f>
        <v>Chennai (ex Madras) (INMAA)</v>
      </c>
      <c r="B167" t="str">
        <f>IF($G167="","",INDEX('Passages List'!C$3:C$65,MATCH($G167,'Passages List'!$E$3:$E$65,1)))</f>
        <v>Hazira Port (Surat) Hbr (INHZA)</v>
      </c>
      <c r="C167" s="1">
        <f>IF($G167="","",INDEX('Passages List'!E$3:E$65,MATCH($G167,'Passages List'!$E$3:$E$65,1)))</f>
        <v>46148.513888888891</v>
      </c>
      <c r="D167" s="1">
        <f>IF($G167="","",INDEX('Passages List'!F$3:F$65,MATCH($G167,'Passages List'!$E$3:$E$65,1)))</f>
        <v>46159.9375</v>
      </c>
      <c r="E167" t="str">
        <f>IF($G167="","",INDEX('Passages List'!G$3:G$65,MATCH($G167,'Passages List'!$E$3:$E$65,1)))</f>
        <v>Ballast</v>
      </c>
      <c r="F167" t="s">
        <v>99</v>
      </c>
      <c r="G167" s="1">
        <v>46153.729166666664</v>
      </c>
      <c r="H167" t="s">
        <v>405</v>
      </c>
      <c r="I167" t="s">
        <v>406</v>
      </c>
      <c r="J167" t="s">
        <v>82</v>
      </c>
      <c r="K167" t="s">
        <v>641</v>
      </c>
      <c r="L167" t="s">
        <v>102</v>
      </c>
      <c r="M167">
        <v>268</v>
      </c>
      <c r="N167" t="s">
        <v>17</v>
      </c>
      <c r="O167">
        <v>14.4</v>
      </c>
      <c r="P167" t="s">
        <v>17</v>
      </c>
    </row>
    <row r="168" spans="1:16" x14ac:dyDescent="0.2">
      <c r="A168" t="str">
        <f>IF($G168="","",INDEX('Passages List'!B$3:B$65,MATCH($G168,'Passages List'!$E$3:$E$65,1)))</f>
        <v>Chennai (ex Madras) (INMAA)</v>
      </c>
      <c r="B168" t="str">
        <f>IF($G168="","",INDEX('Passages List'!C$3:C$65,MATCH($G168,'Passages List'!$E$3:$E$65,1)))</f>
        <v>Hazira Port (Surat) Hbr (INHZA)</v>
      </c>
      <c r="C168" s="1">
        <f>IF($G168="","",INDEX('Passages List'!E$3:E$65,MATCH($G168,'Passages List'!$E$3:$E$65,1)))</f>
        <v>46148.513888888891</v>
      </c>
      <c r="D168" s="1">
        <f>IF($G168="","",INDEX('Passages List'!F$3:F$65,MATCH($G168,'Passages List'!$E$3:$E$65,1)))</f>
        <v>46159.9375</v>
      </c>
      <c r="E168" t="str">
        <f>IF($G168="","",INDEX('Passages List'!G$3:G$65,MATCH($G168,'Passages List'!$E$3:$E$65,1)))</f>
        <v>Ballast</v>
      </c>
      <c r="F168" t="s">
        <v>99</v>
      </c>
      <c r="G168" s="1">
        <v>46154.729166666664</v>
      </c>
      <c r="H168" t="s">
        <v>407</v>
      </c>
      <c r="I168" t="s">
        <v>408</v>
      </c>
      <c r="J168" t="s">
        <v>82</v>
      </c>
      <c r="K168" t="s">
        <v>641</v>
      </c>
      <c r="L168" t="s">
        <v>102</v>
      </c>
      <c r="M168">
        <v>272</v>
      </c>
      <c r="N168" t="s">
        <v>17</v>
      </c>
      <c r="O168">
        <v>14.3</v>
      </c>
      <c r="P168" t="s">
        <v>17</v>
      </c>
    </row>
    <row r="169" spans="1:16" x14ac:dyDescent="0.2">
      <c r="A169" t="str">
        <f>IF($G169="","",INDEX('Passages List'!B$3:B$65,MATCH($G169,'Passages List'!$E$3:$E$65,1)))</f>
        <v>Chennai (ex Madras) (INMAA)</v>
      </c>
      <c r="B169" t="str">
        <f>IF($G169="","",INDEX('Passages List'!C$3:C$65,MATCH($G169,'Passages List'!$E$3:$E$65,1)))</f>
        <v>Hazira Port (Surat) Hbr (INHZA)</v>
      </c>
      <c r="C169" s="1">
        <f>IF($G169="","",INDEX('Passages List'!E$3:E$65,MATCH($G169,'Passages List'!$E$3:$E$65,1)))</f>
        <v>46148.513888888891</v>
      </c>
      <c r="D169" s="1">
        <f>IF($G169="","",INDEX('Passages List'!F$3:F$65,MATCH($G169,'Passages List'!$E$3:$E$65,1)))</f>
        <v>46159.9375</v>
      </c>
      <c r="E169" t="str">
        <f>IF($G169="","",INDEX('Passages List'!G$3:G$65,MATCH($G169,'Passages List'!$E$3:$E$65,1)))</f>
        <v>Ballast</v>
      </c>
      <c r="F169" t="s">
        <v>99</v>
      </c>
      <c r="G169" s="1">
        <v>46155.729166666664</v>
      </c>
      <c r="H169" t="s">
        <v>409</v>
      </c>
      <c r="I169" t="s">
        <v>410</v>
      </c>
      <c r="J169" t="s">
        <v>82</v>
      </c>
      <c r="K169" t="s">
        <v>641</v>
      </c>
      <c r="L169" t="s">
        <v>102</v>
      </c>
      <c r="M169">
        <v>285</v>
      </c>
      <c r="N169" t="s">
        <v>17</v>
      </c>
      <c r="O169">
        <v>14.2</v>
      </c>
      <c r="P169" t="s">
        <v>17</v>
      </c>
    </row>
    <row r="170" spans="1:16" x14ac:dyDescent="0.2">
      <c r="A170" t="str">
        <f>IF($G170="","",INDEX('Passages List'!B$3:B$65,MATCH($G170,'Passages List'!$E$3:$E$65,1)))</f>
        <v>Chennai (ex Madras) (INMAA)</v>
      </c>
      <c r="B170" t="str">
        <f>IF($G170="","",INDEX('Passages List'!C$3:C$65,MATCH($G170,'Passages List'!$E$3:$E$65,1)))</f>
        <v>Hazira Port (Surat) Hbr (INHZA)</v>
      </c>
      <c r="C170" s="1">
        <f>IF($G170="","",INDEX('Passages List'!E$3:E$65,MATCH($G170,'Passages List'!$E$3:$E$65,1)))</f>
        <v>46148.513888888891</v>
      </c>
      <c r="D170" s="1">
        <f>IF($G170="","",INDEX('Passages List'!F$3:F$65,MATCH($G170,'Passages List'!$E$3:$E$65,1)))</f>
        <v>46159.9375</v>
      </c>
      <c r="E170" t="str">
        <f>IF($G170="","",INDEX('Passages List'!G$3:G$65,MATCH($G170,'Passages List'!$E$3:$E$65,1)))</f>
        <v>Ballast</v>
      </c>
      <c r="F170" t="s">
        <v>99</v>
      </c>
      <c r="G170" s="1">
        <v>46155.833333333336</v>
      </c>
      <c r="H170" t="s">
        <v>411</v>
      </c>
      <c r="I170" t="s">
        <v>412</v>
      </c>
      <c r="J170" t="s">
        <v>82</v>
      </c>
      <c r="K170" t="s">
        <v>641</v>
      </c>
      <c r="L170" t="s">
        <v>234</v>
      </c>
      <c r="M170">
        <v>30</v>
      </c>
      <c r="N170" t="s">
        <v>17</v>
      </c>
      <c r="O170">
        <v>1.1000000000000001</v>
      </c>
      <c r="P170" t="s">
        <v>17</v>
      </c>
    </row>
    <row r="171" spans="1:16" x14ac:dyDescent="0.2">
      <c r="A171" t="str">
        <f>IF($G171="","",INDEX('Passages List'!B$3:B$65,MATCH($G171,'Passages List'!$E$3:$E$65,1)))</f>
        <v>Chennai (ex Madras) (INMAA)</v>
      </c>
      <c r="B171" t="str">
        <f>IF($G171="","",INDEX('Passages List'!C$3:C$65,MATCH($G171,'Passages List'!$E$3:$E$65,1)))</f>
        <v>Hazira Port (Surat) Hbr (INHZA)</v>
      </c>
      <c r="C171" s="1">
        <f>IF($G171="","",INDEX('Passages List'!E$3:E$65,MATCH($G171,'Passages List'!$E$3:$E$65,1)))</f>
        <v>46148.513888888891</v>
      </c>
      <c r="D171" s="1">
        <f>IF($G171="","",INDEX('Passages List'!F$3:F$65,MATCH($G171,'Passages List'!$E$3:$E$65,1)))</f>
        <v>46159.9375</v>
      </c>
      <c r="E171" t="str">
        <f>IF($G171="","",INDEX('Passages List'!G$3:G$65,MATCH($G171,'Passages List'!$E$3:$E$65,1)))</f>
        <v>Ballast</v>
      </c>
      <c r="F171" t="s">
        <v>99</v>
      </c>
      <c r="G171" s="1">
        <v>46155.943055555559</v>
      </c>
      <c r="H171" t="s">
        <v>413</v>
      </c>
      <c r="I171" t="s">
        <v>414</v>
      </c>
      <c r="J171" t="s">
        <v>82</v>
      </c>
      <c r="K171" t="s">
        <v>624</v>
      </c>
      <c r="L171" t="s">
        <v>221</v>
      </c>
      <c r="M171">
        <v>18</v>
      </c>
      <c r="N171" t="s">
        <v>17</v>
      </c>
      <c r="O171">
        <v>0.7</v>
      </c>
      <c r="P171" t="s">
        <v>17</v>
      </c>
    </row>
    <row r="172" spans="1:16" x14ac:dyDescent="0.2">
      <c r="A172" t="str">
        <f>IF($G172="","",INDEX('Passages List'!B$3:B$65,MATCH($G172,'Passages List'!$E$3:$E$65,1)))</f>
        <v>Chennai (ex Madras) (INMAA)</v>
      </c>
      <c r="B172" t="str">
        <f>IF($G172="","",INDEX('Passages List'!C$3:C$65,MATCH($G172,'Passages List'!$E$3:$E$65,1)))</f>
        <v>Hazira Port (Surat) Hbr (INHZA)</v>
      </c>
      <c r="C172" s="1">
        <f>IF($G172="","",INDEX('Passages List'!E$3:E$65,MATCH($G172,'Passages List'!$E$3:$E$65,1)))</f>
        <v>46148.513888888891</v>
      </c>
      <c r="D172" s="1">
        <f>IF($G172="","",INDEX('Passages List'!F$3:F$65,MATCH($G172,'Passages List'!$E$3:$E$65,1)))</f>
        <v>46159.9375</v>
      </c>
      <c r="E172" t="str">
        <f>IF($G172="","",INDEX('Passages List'!G$3:G$65,MATCH($G172,'Passages List'!$E$3:$E$65,1)))</f>
        <v>Ballast</v>
      </c>
      <c r="F172" t="s">
        <v>99</v>
      </c>
      <c r="G172" s="1">
        <v>46156.729166666664</v>
      </c>
      <c r="H172" t="s">
        <v>415</v>
      </c>
      <c r="I172" t="s">
        <v>416</v>
      </c>
      <c r="J172" t="s">
        <v>82</v>
      </c>
      <c r="L172" t="s">
        <v>417</v>
      </c>
      <c r="M172" t="s">
        <v>17</v>
      </c>
      <c r="N172" t="s">
        <v>17</v>
      </c>
      <c r="O172">
        <v>1.5</v>
      </c>
      <c r="P172">
        <v>0.6</v>
      </c>
    </row>
    <row r="173" spans="1:16" x14ac:dyDescent="0.2">
      <c r="A173" t="str">
        <f>IF($G173="","",INDEX('Passages List'!B$3:B$65,MATCH($G173,'Passages List'!$E$3:$E$65,1)))</f>
        <v>Chennai (ex Madras) (INMAA)</v>
      </c>
      <c r="B173" t="str">
        <f>IF($G173="","",INDEX('Passages List'!C$3:C$65,MATCH($G173,'Passages List'!$E$3:$E$65,1)))</f>
        <v>Hazira Port (Surat) Hbr (INHZA)</v>
      </c>
      <c r="C173" s="1">
        <f>IF($G173="","",INDEX('Passages List'!E$3:E$65,MATCH($G173,'Passages List'!$E$3:$E$65,1)))</f>
        <v>46148.513888888891</v>
      </c>
      <c r="D173" s="1">
        <f>IF($G173="","",INDEX('Passages List'!F$3:F$65,MATCH($G173,'Passages List'!$E$3:$E$65,1)))</f>
        <v>46159.9375</v>
      </c>
      <c r="E173" t="str">
        <f>IF($G173="","",INDEX('Passages List'!G$3:G$65,MATCH($G173,'Passages List'!$E$3:$E$65,1)))</f>
        <v>Ballast</v>
      </c>
      <c r="F173" t="s">
        <v>99</v>
      </c>
      <c r="G173" s="1">
        <v>46157.729166666664</v>
      </c>
      <c r="H173" t="s">
        <v>415</v>
      </c>
      <c r="I173" t="s">
        <v>418</v>
      </c>
      <c r="J173" t="s">
        <v>82</v>
      </c>
      <c r="L173" t="s">
        <v>102</v>
      </c>
      <c r="M173" t="s">
        <v>17</v>
      </c>
      <c r="N173" t="s">
        <v>17</v>
      </c>
      <c r="O173">
        <v>1.9</v>
      </c>
      <c r="P173">
        <v>0.6</v>
      </c>
    </row>
    <row r="174" spans="1:16" x14ac:dyDescent="0.2">
      <c r="A174" t="str">
        <f>IF($G174="","",INDEX('Passages List'!B$3:B$65,MATCH($G174,'Passages List'!$E$3:$E$65,1)))</f>
        <v>Chennai (ex Madras) (INMAA)</v>
      </c>
      <c r="B174" t="str">
        <f>IF($G174="","",INDEX('Passages List'!C$3:C$65,MATCH($G174,'Passages List'!$E$3:$E$65,1)))</f>
        <v>Hazira Port (Surat) Hbr (INHZA)</v>
      </c>
      <c r="C174" s="1">
        <f>IF($G174="","",INDEX('Passages List'!E$3:E$65,MATCH($G174,'Passages List'!$E$3:$E$65,1)))</f>
        <v>46148.513888888891</v>
      </c>
      <c r="D174" s="1">
        <f>IF($G174="","",INDEX('Passages List'!F$3:F$65,MATCH($G174,'Passages List'!$E$3:$E$65,1)))</f>
        <v>46159.9375</v>
      </c>
      <c r="E174" t="str">
        <f>IF($G174="","",INDEX('Passages List'!G$3:G$65,MATCH($G174,'Passages List'!$E$3:$E$65,1)))</f>
        <v>Ballast</v>
      </c>
      <c r="F174" t="s">
        <v>99</v>
      </c>
      <c r="G174" s="1">
        <v>46158.729166666664</v>
      </c>
      <c r="H174" t="s">
        <v>415</v>
      </c>
      <c r="I174" t="s">
        <v>418</v>
      </c>
      <c r="J174" t="s">
        <v>82</v>
      </c>
      <c r="L174" t="s">
        <v>102</v>
      </c>
      <c r="M174" t="s">
        <v>17</v>
      </c>
      <c r="N174" t="s">
        <v>17</v>
      </c>
      <c r="O174">
        <v>1.9</v>
      </c>
      <c r="P174">
        <v>0.7</v>
      </c>
    </row>
    <row r="175" spans="1:16" x14ac:dyDescent="0.2">
      <c r="A175" t="str">
        <f>IF($G175="","",INDEX('Passages List'!B$3:B$65,MATCH($G175,'Passages List'!$E$3:$E$65,1)))</f>
        <v>Chennai (ex Madras) (INMAA)</v>
      </c>
      <c r="B175" t="str">
        <f>IF($G175="","",INDEX('Passages List'!C$3:C$65,MATCH($G175,'Passages List'!$E$3:$E$65,1)))</f>
        <v>Hazira Port (Surat) Hbr (INHZA)</v>
      </c>
      <c r="C175" s="1">
        <f>IF($G175="","",INDEX('Passages List'!E$3:E$65,MATCH($G175,'Passages List'!$E$3:$E$65,1)))</f>
        <v>46148.513888888891</v>
      </c>
      <c r="D175" s="1">
        <f>IF($G175="","",INDEX('Passages List'!F$3:F$65,MATCH($G175,'Passages List'!$E$3:$E$65,1)))</f>
        <v>46159.9375</v>
      </c>
      <c r="E175" t="str">
        <f>IF($G175="","",INDEX('Passages List'!G$3:G$65,MATCH($G175,'Passages List'!$E$3:$E$65,1)))</f>
        <v>Ballast</v>
      </c>
      <c r="F175" t="s">
        <v>99</v>
      </c>
      <c r="G175" s="1">
        <v>46159.729166666664</v>
      </c>
      <c r="H175" t="s">
        <v>415</v>
      </c>
      <c r="I175" t="s">
        <v>418</v>
      </c>
      <c r="J175" t="s">
        <v>82</v>
      </c>
      <c r="L175" t="s">
        <v>102</v>
      </c>
      <c r="M175" t="s">
        <v>17</v>
      </c>
      <c r="N175" t="s">
        <v>17</v>
      </c>
      <c r="O175">
        <v>1.9</v>
      </c>
      <c r="P175">
        <v>0.7</v>
      </c>
    </row>
    <row r="176" spans="1:16" x14ac:dyDescent="0.2">
      <c r="A176" t="str">
        <f>IF($G176="","",INDEX('Passages List'!B$3:B$65,MATCH($G176,'Passages List'!$E$3:$E$65,1)))</f>
        <v/>
      </c>
      <c r="B176" t="str">
        <f>IF($G176="","",INDEX('Passages List'!C$3:C$65,MATCH($G176,'Passages List'!$E$3:$E$65,1)))</f>
        <v>Hazira Port (Surat) Hbr (INHZA)</v>
      </c>
      <c r="C176" s="1">
        <f>IF($G176="","",INDEX('Passages List'!E$3:E$65,MATCH($G176,'Passages List'!$E$3:$E$65,1)))</f>
        <v>46159.9375</v>
      </c>
      <c r="D176" s="1">
        <f>IF($G176="","",INDEX('Passages List'!F$3:F$65,MATCH($G176,'Passages List'!$E$3:$E$65,1)))</f>
        <v>46162.406944444447</v>
      </c>
      <c r="E176" t="str">
        <f>IF($G176="","",INDEX('Passages List'!G$3:G$65,MATCH($G176,'Passages List'!$E$3:$E$65,1)))</f>
        <v>Cargo operations</v>
      </c>
      <c r="F176" t="s">
        <v>104</v>
      </c>
      <c r="G176" s="1">
        <v>46159.9375</v>
      </c>
      <c r="H176" t="s">
        <v>419</v>
      </c>
      <c r="I176" t="s">
        <v>150</v>
      </c>
      <c r="J176" t="s">
        <v>82</v>
      </c>
      <c r="L176" t="s">
        <v>109</v>
      </c>
      <c r="M176">
        <v>12</v>
      </c>
      <c r="N176" t="s">
        <v>17</v>
      </c>
      <c r="O176">
        <v>1</v>
      </c>
      <c r="P176">
        <v>0.1</v>
      </c>
    </row>
    <row r="177" spans="1:16" x14ac:dyDescent="0.2">
      <c r="A177" t="str">
        <f>IF($G177="","",INDEX('Passages List'!B$3:B$65,MATCH($G177,'Passages List'!$E$3:$E$65,1)))</f>
        <v/>
      </c>
      <c r="B177" t="str">
        <f>IF($G177="","",INDEX('Passages List'!C$3:C$65,MATCH($G177,'Passages List'!$E$3:$E$65,1)))</f>
        <v>Hazira Port (Surat) Hbr (INHZA)</v>
      </c>
      <c r="C177" s="1">
        <f>IF($G177="","",INDEX('Passages List'!E$3:E$65,MATCH($G177,'Passages List'!$E$3:$E$65,1)))</f>
        <v>46159.9375</v>
      </c>
      <c r="D177" s="1">
        <f>IF($G177="","",INDEX('Passages List'!F$3:F$65,MATCH($G177,'Passages List'!$E$3:$E$65,1)))</f>
        <v>46162.406944444447</v>
      </c>
      <c r="E177" t="str">
        <f>IF($G177="","",INDEX('Passages List'!G$3:G$65,MATCH($G177,'Passages List'!$E$3:$E$65,1)))</f>
        <v>Cargo operations</v>
      </c>
      <c r="F177" t="s">
        <v>105</v>
      </c>
      <c r="G177" s="1">
        <v>46160.729166666664</v>
      </c>
      <c r="H177" t="s">
        <v>419</v>
      </c>
      <c r="I177" t="s">
        <v>150</v>
      </c>
      <c r="J177" t="s">
        <v>82</v>
      </c>
      <c r="L177" t="s">
        <v>112</v>
      </c>
      <c r="M177" t="s">
        <v>17</v>
      </c>
      <c r="N177" t="s">
        <v>17</v>
      </c>
      <c r="O177">
        <v>1.7</v>
      </c>
      <c r="P177">
        <v>0.4</v>
      </c>
    </row>
    <row r="178" spans="1:16" x14ac:dyDescent="0.2">
      <c r="A178" t="str">
        <f>IF($G178="","",INDEX('Passages List'!B$3:B$65,MATCH($G178,'Passages List'!$E$3:$E$65,1)))</f>
        <v/>
      </c>
      <c r="B178" t="str">
        <f>IF($G178="","",INDEX('Passages List'!C$3:C$65,MATCH($G178,'Passages List'!$E$3:$E$65,1)))</f>
        <v>Hazira Port (Surat) Hbr (INHZA)</v>
      </c>
      <c r="C178" s="1">
        <f>IF($G178="","",INDEX('Passages List'!E$3:E$65,MATCH($G178,'Passages List'!$E$3:$E$65,1)))</f>
        <v>46159.9375</v>
      </c>
      <c r="D178" s="1">
        <f>IF($G178="","",INDEX('Passages List'!F$3:F$65,MATCH($G178,'Passages List'!$E$3:$E$65,1)))</f>
        <v>46162.406944444447</v>
      </c>
      <c r="E178" t="str">
        <f>IF($G178="","",INDEX('Passages List'!G$3:G$65,MATCH($G178,'Passages List'!$E$3:$E$65,1)))</f>
        <v>Cargo operations</v>
      </c>
      <c r="F178" t="s">
        <v>105</v>
      </c>
      <c r="G178" s="1">
        <v>46161.729166666664</v>
      </c>
      <c r="H178" t="s">
        <v>419</v>
      </c>
      <c r="I178" t="s">
        <v>150</v>
      </c>
      <c r="J178" t="s">
        <v>82</v>
      </c>
      <c r="L178" t="s">
        <v>102</v>
      </c>
      <c r="M178" t="s">
        <v>17</v>
      </c>
      <c r="N178" t="s">
        <v>17</v>
      </c>
      <c r="O178">
        <v>2.1</v>
      </c>
      <c r="P178">
        <v>0.6</v>
      </c>
    </row>
    <row r="179" spans="1:16" x14ac:dyDescent="0.2">
      <c r="A179" t="str">
        <f>IF($G179="","",INDEX('Passages List'!B$3:B$65,MATCH($G179,'Passages List'!$E$3:$E$65,1)))</f>
        <v>Hazira Port (Surat) Hbr (INHZA)</v>
      </c>
      <c r="B179" t="str">
        <f>IF($G179="","",INDEX('Passages List'!C$3:C$65,MATCH($G179,'Passages List'!$E$3:$E$65,1)))</f>
        <v>Chennai (ex Madras) (INMAA)</v>
      </c>
      <c r="C179" s="1">
        <f>IF($G179="","",INDEX('Passages List'!E$3:E$65,MATCH($G179,'Passages List'!$E$3:$E$65,1)))</f>
        <v>46162.406944444447</v>
      </c>
      <c r="D179" s="1">
        <f>IF($G179="","",INDEX('Passages List'!F$3:F$65,MATCH($G179,'Passages List'!$E$3:$E$65,1)))</f>
        <v>46169.270833333336</v>
      </c>
      <c r="E179" t="str">
        <f>IF($G179="","",INDEX('Passages List'!G$3:G$65,MATCH($G179,'Passages List'!$E$3:$E$65,1)))</f>
        <v>Cargo</v>
      </c>
      <c r="F179" t="s">
        <v>106</v>
      </c>
      <c r="G179" s="1">
        <v>46162.406944444447</v>
      </c>
      <c r="H179" t="s">
        <v>419</v>
      </c>
      <c r="I179" t="s">
        <v>150</v>
      </c>
      <c r="J179" t="s">
        <v>83</v>
      </c>
      <c r="L179" t="s">
        <v>420</v>
      </c>
      <c r="M179" t="s">
        <v>17</v>
      </c>
      <c r="N179">
        <v>14068</v>
      </c>
      <c r="O179">
        <v>1.4</v>
      </c>
      <c r="P179">
        <v>0.4</v>
      </c>
    </row>
    <row r="180" spans="1:16" x14ac:dyDescent="0.2">
      <c r="A180" t="str">
        <f>IF($G180="","",INDEX('Passages List'!B$3:B$65,MATCH($G180,'Passages List'!$E$3:$E$65,1)))</f>
        <v>Hazira Port (Surat) Hbr (INHZA)</v>
      </c>
      <c r="B180" t="str">
        <f>IF($G180="","",INDEX('Passages List'!C$3:C$65,MATCH($G180,'Passages List'!$E$3:$E$65,1)))</f>
        <v>Chennai (ex Madras) (INMAA)</v>
      </c>
      <c r="C180" s="1">
        <f>IF($G180="","",INDEX('Passages List'!E$3:E$65,MATCH($G180,'Passages List'!$E$3:$E$65,1)))</f>
        <v>46162.406944444447</v>
      </c>
      <c r="D180" s="1">
        <f>IF($G180="","",INDEX('Passages List'!F$3:F$65,MATCH($G180,'Passages List'!$E$3:$E$65,1)))</f>
        <v>46169.270833333336</v>
      </c>
      <c r="E180" t="str">
        <f>IF($G180="","",INDEX('Passages List'!G$3:G$65,MATCH($G180,'Passages List'!$E$3:$E$65,1)))</f>
        <v>Cargo</v>
      </c>
      <c r="F180" t="s">
        <v>99</v>
      </c>
      <c r="G180" s="1">
        <v>46162.479166666664</v>
      </c>
      <c r="H180" t="s">
        <v>421</v>
      </c>
      <c r="I180" t="s">
        <v>422</v>
      </c>
      <c r="J180" t="s">
        <v>83</v>
      </c>
      <c r="K180" t="s">
        <v>623</v>
      </c>
      <c r="L180" t="s">
        <v>423</v>
      </c>
      <c r="M180">
        <v>14</v>
      </c>
      <c r="N180" t="s">
        <v>17</v>
      </c>
      <c r="O180">
        <v>0.9</v>
      </c>
      <c r="P180" t="s">
        <v>17</v>
      </c>
    </row>
    <row r="181" spans="1:16" x14ac:dyDescent="0.2">
      <c r="A181" t="str">
        <f>IF($G181="","",INDEX('Passages List'!B$3:B$65,MATCH($G181,'Passages List'!$E$3:$E$65,1)))</f>
        <v>Hazira Port (Surat) Hbr (INHZA)</v>
      </c>
      <c r="B181" t="str">
        <f>IF($G181="","",INDEX('Passages List'!C$3:C$65,MATCH($G181,'Passages List'!$E$3:$E$65,1)))</f>
        <v>Chennai (ex Madras) (INMAA)</v>
      </c>
      <c r="C181" s="1">
        <f>IF($G181="","",INDEX('Passages List'!E$3:E$65,MATCH($G181,'Passages List'!$E$3:$E$65,1)))</f>
        <v>46162.406944444447</v>
      </c>
      <c r="D181" s="1">
        <f>IF($G181="","",INDEX('Passages List'!F$3:F$65,MATCH($G181,'Passages List'!$E$3:$E$65,1)))</f>
        <v>46169.270833333336</v>
      </c>
      <c r="E181" t="str">
        <f>IF($G181="","",INDEX('Passages List'!G$3:G$65,MATCH($G181,'Passages List'!$E$3:$E$65,1)))</f>
        <v>Cargo</v>
      </c>
      <c r="F181" t="s">
        <v>99</v>
      </c>
      <c r="G181" s="1">
        <v>46162.729166666664</v>
      </c>
      <c r="H181" t="s">
        <v>424</v>
      </c>
      <c r="I181" t="s">
        <v>425</v>
      </c>
      <c r="J181" t="s">
        <v>83</v>
      </c>
      <c r="K181" t="s">
        <v>641</v>
      </c>
      <c r="L181" t="s">
        <v>205</v>
      </c>
      <c r="M181">
        <v>67.5</v>
      </c>
      <c r="N181" t="s">
        <v>17</v>
      </c>
      <c r="O181">
        <v>3.5</v>
      </c>
      <c r="P181" t="s">
        <v>17</v>
      </c>
    </row>
    <row r="182" spans="1:16" x14ac:dyDescent="0.2">
      <c r="A182" t="str">
        <f>IF($G182="","",INDEX('Passages List'!B$3:B$65,MATCH($G182,'Passages List'!$E$3:$E$65,1)))</f>
        <v>Hazira Port (Surat) Hbr (INHZA)</v>
      </c>
      <c r="B182" t="str">
        <f>IF($G182="","",INDEX('Passages List'!C$3:C$65,MATCH($G182,'Passages List'!$E$3:$E$65,1)))</f>
        <v>Chennai (ex Madras) (INMAA)</v>
      </c>
      <c r="C182" s="1">
        <f>IF($G182="","",INDEX('Passages List'!E$3:E$65,MATCH($G182,'Passages List'!$E$3:$E$65,1)))</f>
        <v>46162.406944444447</v>
      </c>
      <c r="D182" s="1">
        <f>IF($G182="","",INDEX('Passages List'!F$3:F$65,MATCH($G182,'Passages List'!$E$3:$E$65,1)))</f>
        <v>46169.270833333336</v>
      </c>
      <c r="E182" t="str">
        <f>IF($G182="","",INDEX('Passages List'!G$3:G$65,MATCH($G182,'Passages List'!$E$3:$E$65,1)))</f>
        <v>Cargo</v>
      </c>
      <c r="F182" t="s">
        <v>99</v>
      </c>
      <c r="G182" s="1">
        <v>46163.729166666664</v>
      </c>
      <c r="H182" t="s">
        <v>426</v>
      </c>
      <c r="I182" t="s">
        <v>427</v>
      </c>
      <c r="J182" t="s">
        <v>83</v>
      </c>
      <c r="K182" t="s">
        <v>641</v>
      </c>
      <c r="L182" t="s">
        <v>102</v>
      </c>
      <c r="M182">
        <v>247</v>
      </c>
      <c r="N182" t="s">
        <v>17</v>
      </c>
      <c r="O182">
        <v>14</v>
      </c>
      <c r="P182" t="s">
        <v>17</v>
      </c>
    </row>
    <row r="183" spans="1:16" x14ac:dyDescent="0.2">
      <c r="A183" t="str">
        <f>IF($G183="","",INDEX('Passages List'!B$3:B$65,MATCH($G183,'Passages List'!$E$3:$E$65,1)))</f>
        <v>Hazira Port (Surat) Hbr (INHZA)</v>
      </c>
      <c r="B183" t="str">
        <f>IF($G183="","",INDEX('Passages List'!C$3:C$65,MATCH($G183,'Passages List'!$E$3:$E$65,1)))</f>
        <v>Chennai (ex Madras) (INMAA)</v>
      </c>
      <c r="C183" s="1">
        <f>IF($G183="","",INDEX('Passages List'!E$3:E$65,MATCH($G183,'Passages List'!$E$3:$E$65,1)))</f>
        <v>46162.406944444447</v>
      </c>
      <c r="D183" s="1">
        <f>IF($G183="","",INDEX('Passages List'!F$3:F$65,MATCH($G183,'Passages List'!$E$3:$E$65,1)))</f>
        <v>46169.270833333336</v>
      </c>
      <c r="E183" t="str">
        <f>IF($G183="","",INDEX('Passages List'!G$3:G$65,MATCH($G183,'Passages List'!$E$3:$E$65,1)))</f>
        <v>Cargo</v>
      </c>
      <c r="F183" t="s">
        <v>99</v>
      </c>
      <c r="G183" s="1">
        <v>46164.729166666664</v>
      </c>
      <c r="H183" t="s">
        <v>428</v>
      </c>
      <c r="I183" t="s">
        <v>429</v>
      </c>
      <c r="J183" t="s">
        <v>83</v>
      </c>
      <c r="K183" t="s">
        <v>641</v>
      </c>
      <c r="L183" t="s">
        <v>102</v>
      </c>
      <c r="M183">
        <v>210</v>
      </c>
      <c r="N183" t="s">
        <v>17</v>
      </c>
      <c r="O183">
        <v>13.6</v>
      </c>
      <c r="P183" t="s">
        <v>17</v>
      </c>
    </row>
    <row r="184" spans="1:16" x14ac:dyDescent="0.2">
      <c r="A184" t="str">
        <f>IF($G184="","",INDEX('Passages List'!B$3:B$65,MATCH($G184,'Passages List'!$E$3:$E$65,1)))</f>
        <v>Hazira Port (Surat) Hbr (INHZA)</v>
      </c>
      <c r="B184" t="str">
        <f>IF($G184="","",INDEX('Passages List'!C$3:C$65,MATCH($G184,'Passages List'!$E$3:$E$65,1)))</f>
        <v>Chennai (ex Madras) (INMAA)</v>
      </c>
      <c r="C184" s="1">
        <f>IF($G184="","",INDEX('Passages List'!E$3:E$65,MATCH($G184,'Passages List'!$E$3:$E$65,1)))</f>
        <v>46162.406944444447</v>
      </c>
      <c r="D184" s="1">
        <f>IF($G184="","",INDEX('Passages List'!F$3:F$65,MATCH($G184,'Passages List'!$E$3:$E$65,1)))</f>
        <v>46169.270833333336</v>
      </c>
      <c r="E184" t="str">
        <f>IF($G184="","",INDEX('Passages List'!G$3:G$65,MATCH($G184,'Passages List'!$E$3:$E$65,1)))</f>
        <v>Cargo</v>
      </c>
      <c r="F184" t="s">
        <v>99</v>
      </c>
      <c r="G184" s="1">
        <v>46165.729166666664</v>
      </c>
      <c r="H184" t="s">
        <v>430</v>
      </c>
      <c r="I184" t="s">
        <v>431</v>
      </c>
      <c r="J184" t="s">
        <v>83</v>
      </c>
      <c r="K184" t="s">
        <v>641</v>
      </c>
      <c r="L184" t="s">
        <v>102</v>
      </c>
      <c r="M184">
        <v>258</v>
      </c>
      <c r="N184" t="s">
        <v>17</v>
      </c>
      <c r="O184">
        <v>13.9</v>
      </c>
      <c r="P184" t="s">
        <v>17</v>
      </c>
    </row>
    <row r="185" spans="1:16" x14ac:dyDescent="0.2">
      <c r="A185" t="str">
        <f>IF($G185="","",INDEX('Passages List'!B$3:B$65,MATCH($G185,'Passages List'!$E$3:$E$65,1)))</f>
        <v>Hazira Port (Surat) Hbr (INHZA)</v>
      </c>
      <c r="B185" t="str">
        <f>IF($G185="","",INDEX('Passages List'!C$3:C$65,MATCH($G185,'Passages List'!$E$3:$E$65,1)))</f>
        <v>Chennai (ex Madras) (INMAA)</v>
      </c>
      <c r="C185" s="1">
        <f>IF($G185="","",INDEX('Passages List'!E$3:E$65,MATCH($G185,'Passages List'!$E$3:$E$65,1)))</f>
        <v>46162.406944444447</v>
      </c>
      <c r="D185" s="1">
        <f>IF($G185="","",INDEX('Passages List'!F$3:F$65,MATCH($G185,'Passages List'!$E$3:$E$65,1)))</f>
        <v>46169.270833333336</v>
      </c>
      <c r="E185" t="str">
        <f>IF($G185="","",INDEX('Passages List'!G$3:G$65,MATCH($G185,'Passages List'!$E$3:$E$65,1)))</f>
        <v>Cargo</v>
      </c>
      <c r="F185" t="s">
        <v>99</v>
      </c>
      <c r="G185" s="1">
        <v>46166.729166666664</v>
      </c>
      <c r="H185" t="s">
        <v>432</v>
      </c>
      <c r="I185" t="s">
        <v>433</v>
      </c>
      <c r="J185" t="s">
        <v>83</v>
      </c>
      <c r="K185" t="s">
        <v>641</v>
      </c>
      <c r="L185" t="s">
        <v>102</v>
      </c>
      <c r="M185">
        <v>268</v>
      </c>
      <c r="N185" t="s">
        <v>17</v>
      </c>
      <c r="O185">
        <v>13.8</v>
      </c>
      <c r="P185" t="s">
        <v>17</v>
      </c>
    </row>
    <row r="186" spans="1:16" x14ac:dyDescent="0.2">
      <c r="A186" t="str">
        <f>IF($G186="","",INDEX('Passages List'!B$3:B$65,MATCH($G186,'Passages List'!$E$3:$E$65,1)))</f>
        <v>Hazira Port (Surat) Hbr (INHZA)</v>
      </c>
      <c r="B186" t="str">
        <f>IF($G186="","",INDEX('Passages List'!C$3:C$65,MATCH($G186,'Passages List'!$E$3:$E$65,1)))</f>
        <v>Chennai (ex Madras) (INMAA)</v>
      </c>
      <c r="C186" s="1">
        <f>IF($G186="","",INDEX('Passages List'!E$3:E$65,MATCH($G186,'Passages List'!$E$3:$E$65,1)))</f>
        <v>46162.406944444447</v>
      </c>
      <c r="D186" s="1">
        <f>IF($G186="","",INDEX('Passages List'!F$3:F$65,MATCH($G186,'Passages List'!$E$3:$E$65,1)))</f>
        <v>46169.270833333336</v>
      </c>
      <c r="E186" t="str">
        <f>IF($G186="","",INDEX('Passages List'!G$3:G$65,MATCH($G186,'Passages List'!$E$3:$E$65,1)))</f>
        <v>Cargo</v>
      </c>
      <c r="F186" t="s">
        <v>99</v>
      </c>
      <c r="G186" s="1">
        <v>46167.729166666664</v>
      </c>
      <c r="H186" t="s">
        <v>434</v>
      </c>
      <c r="I186" t="s">
        <v>435</v>
      </c>
      <c r="J186" t="s">
        <v>83</v>
      </c>
      <c r="K186" t="s">
        <v>641</v>
      </c>
      <c r="L186" t="s">
        <v>102</v>
      </c>
      <c r="M186">
        <v>245</v>
      </c>
      <c r="N186" t="s">
        <v>17</v>
      </c>
      <c r="O186">
        <v>13.9</v>
      </c>
      <c r="P186" t="s">
        <v>17</v>
      </c>
    </row>
    <row r="187" spans="1:16" x14ac:dyDescent="0.2">
      <c r="A187" t="str">
        <f>IF($G187="","",INDEX('Passages List'!B$3:B$65,MATCH($G187,'Passages List'!$E$3:$E$65,1)))</f>
        <v>Hazira Port (Surat) Hbr (INHZA)</v>
      </c>
      <c r="B187" t="str">
        <f>IF($G187="","",INDEX('Passages List'!C$3:C$65,MATCH($G187,'Passages List'!$E$3:$E$65,1)))</f>
        <v>Chennai (ex Madras) (INMAA)</v>
      </c>
      <c r="C187" s="1">
        <f>IF($G187="","",INDEX('Passages List'!E$3:E$65,MATCH($G187,'Passages List'!$E$3:$E$65,1)))</f>
        <v>46162.406944444447</v>
      </c>
      <c r="D187" s="1">
        <f>IF($G187="","",INDEX('Passages List'!F$3:F$65,MATCH($G187,'Passages List'!$E$3:$E$65,1)))</f>
        <v>46169.270833333336</v>
      </c>
      <c r="E187" t="str">
        <f>IF($G187="","",INDEX('Passages List'!G$3:G$65,MATCH($G187,'Passages List'!$E$3:$E$65,1)))</f>
        <v>Cargo</v>
      </c>
      <c r="F187" t="s">
        <v>99</v>
      </c>
      <c r="G187" s="1">
        <v>46168.729166666664</v>
      </c>
      <c r="H187" t="s">
        <v>436</v>
      </c>
      <c r="I187" t="s">
        <v>437</v>
      </c>
      <c r="J187" t="s">
        <v>83</v>
      </c>
      <c r="K187" t="s">
        <v>641</v>
      </c>
      <c r="L187" t="s">
        <v>102</v>
      </c>
      <c r="M187">
        <v>245</v>
      </c>
      <c r="N187" t="s">
        <v>17</v>
      </c>
      <c r="O187">
        <v>14</v>
      </c>
      <c r="P187" t="s">
        <v>17</v>
      </c>
    </row>
    <row r="188" spans="1:16" x14ac:dyDescent="0.2">
      <c r="A188" t="str">
        <f>IF($G188="","",INDEX('Passages List'!B$3:B$65,MATCH($G188,'Passages List'!$E$3:$E$65,1)))</f>
        <v>Hazira Port (Surat) Hbr (INHZA)</v>
      </c>
      <c r="B188" t="str">
        <f>IF($G188="","",INDEX('Passages List'!C$3:C$65,MATCH($G188,'Passages List'!$E$3:$E$65,1)))</f>
        <v>Chennai (ex Madras) (INMAA)</v>
      </c>
      <c r="C188" s="1">
        <f>IF($G188="","",INDEX('Passages List'!E$3:E$65,MATCH($G188,'Passages List'!$E$3:$E$65,1)))</f>
        <v>46162.406944444447</v>
      </c>
      <c r="D188" s="1">
        <f>IF($G188="","",INDEX('Passages List'!F$3:F$65,MATCH($G188,'Passages List'!$E$3:$E$65,1)))</f>
        <v>46169.270833333336</v>
      </c>
      <c r="E188" t="str">
        <f>IF($G188="","",INDEX('Passages List'!G$3:G$65,MATCH($G188,'Passages List'!$E$3:$E$65,1)))</f>
        <v>Cargo</v>
      </c>
      <c r="F188" t="s">
        <v>99</v>
      </c>
      <c r="G188" s="1">
        <v>46169.179166666669</v>
      </c>
      <c r="H188" t="s">
        <v>438</v>
      </c>
      <c r="I188" t="s">
        <v>439</v>
      </c>
      <c r="J188" t="s">
        <v>83</v>
      </c>
      <c r="K188" t="s">
        <v>641</v>
      </c>
      <c r="L188" t="s">
        <v>440</v>
      </c>
      <c r="M188">
        <v>116</v>
      </c>
      <c r="N188" t="s">
        <v>17</v>
      </c>
      <c r="O188">
        <v>6.4</v>
      </c>
      <c r="P188" t="s">
        <v>17</v>
      </c>
    </row>
    <row r="189" spans="1:16" x14ac:dyDescent="0.2">
      <c r="A189" t="str">
        <f>IF($G189="","",INDEX('Passages List'!B$3:B$65,MATCH($G189,'Passages List'!$E$3:$E$65,1)))</f>
        <v/>
      </c>
      <c r="B189" t="str">
        <f>IF($G189="","",INDEX('Passages List'!C$3:C$65,MATCH($G189,'Passages List'!$E$3:$E$65,1)))</f>
        <v>Chennai (ex Madras) (INMAA)</v>
      </c>
      <c r="C189" s="1">
        <f>IF($G189="","",INDEX('Passages List'!E$3:E$65,MATCH($G189,'Passages List'!$E$3:$E$65,1)))</f>
        <v>46169.270833333336</v>
      </c>
      <c r="D189" s="1">
        <f>IF($G189="","",INDEX('Passages List'!F$3:F$65,MATCH($G189,'Passages List'!$E$3:$E$65,1)))</f>
        <v>46170.536111111112</v>
      </c>
      <c r="E189" t="str">
        <f>IF($G189="","",INDEX('Passages List'!G$3:G$65,MATCH($G189,'Passages List'!$E$3:$E$65,1)))</f>
        <v>Cargo operations</v>
      </c>
      <c r="F189" t="s">
        <v>104</v>
      </c>
      <c r="G189" s="1">
        <v>46169.270833333336</v>
      </c>
      <c r="H189" t="s">
        <v>441</v>
      </c>
      <c r="I189" t="s">
        <v>442</v>
      </c>
      <c r="J189" t="s">
        <v>83</v>
      </c>
      <c r="K189" t="s">
        <v>624</v>
      </c>
      <c r="L189" t="s">
        <v>443</v>
      </c>
      <c r="M189">
        <v>11</v>
      </c>
      <c r="N189" t="s">
        <v>17</v>
      </c>
      <c r="O189">
        <v>0.6</v>
      </c>
      <c r="P189">
        <v>0.1</v>
      </c>
    </row>
    <row r="190" spans="1:16" x14ac:dyDescent="0.2">
      <c r="A190" t="str">
        <f>IF($G190="","",INDEX('Passages List'!B$3:B$65,MATCH($G190,'Passages List'!$E$3:$E$65,1)))</f>
        <v/>
      </c>
      <c r="B190" t="str">
        <f>IF($G190="","",INDEX('Passages List'!C$3:C$65,MATCH($G190,'Passages List'!$E$3:$E$65,1)))</f>
        <v>Chennai (ex Madras) (INMAA)</v>
      </c>
      <c r="C190" s="1">
        <f>IF($G190="","",INDEX('Passages List'!E$3:E$65,MATCH($G190,'Passages List'!$E$3:$E$65,1)))</f>
        <v>46169.270833333336</v>
      </c>
      <c r="D190" s="1">
        <f>IF($G190="","",INDEX('Passages List'!F$3:F$65,MATCH($G190,'Passages List'!$E$3:$E$65,1)))</f>
        <v>46170.536111111112</v>
      </c>
      <c r="E190" t="str">
        <f>IF($G190="","",INDEX('Passages List'!G$3:G$65,MATCH($G190,'Passages List'!$E$3:$E$65,1)))</f>
        <v>Cargo operations</v>
      </c>
      <c r="F190" t="s">
        <v>105</v>
      </c>
      <c r="G190" s="1">
        <v>46169.729166666664</v>
      </c>
      <c r="H190" t="s">
        <v>441</v>
      </c>
      <c r="I190" t="s">
        <v>442</v>
      </c>
      <c r="J190" t="s">
        <v>83</v>
      </c>
      <c r="L190" t="s">
        <v>335</v>
      </c>
      <c r="M190" t="s">
        <v>17</v>
      </c>
      <c r="N190" t="s">
        <v>17</v>
      </c>
      <c r="O190">
        <v>1.1000000000000001</v>
      </c>
      <c r="P190">
        <v>0.3</v>
      </c>
    </row>
    <row r="191" spans="1:16" x14ac:dyDescent="0.2">
      <c r="A191" t="str">
        <f>IF($G191="","",INDEX('Passages List'!B$3:B$65,MATCH($G191,'Passages List'!$E$3:$E$65,1)))</f>
        <v>Chennai (ex Madras) (INMAA)</v>
      </c>
      <c r="B191" t="str">
        <f>IF($G191="","",INDEX('Passages List'!C$3:C$65,MATCH($G191,'Passages List'!$E$3:$E$65,1)))</f>
        <v>Hazira Port (Surat) Hbr (INHZA)</v>
      </c>
      <c r="C191" s="1">
        <f>IF($G191="","",INDEX('Passages List'!E$3:E$65,MATCH($G191,'Passages List'!$E$3:$E$65,1)))</f>
        <v>46170.536111111112</v>
      </c>
      <c r="D191" s="1">
        <f>IF($G191="","",INDEX('Passages List'!F$3:F$65,MATCH($G191,'Passages List'!$E$3:$E$65,1)))</f>
        <v>46179.086805555555</v>
      </c>
      <c r="E191" t="str">
        <f>IF($G191="","",INDEX('Passages List'!G$3:G$65,MATCH($G191,'Passages List'!$E$3:$E$65,1)))</f>
        <v>Ballast</v>
      </c>
      <c r="F191" t="s">
        <v>106</v>
      </c>
      <c r="G191" s="1">
        <v>46170.536111111112</v>
      </c>
      <c r="H191" t="s">
        <v>441</v>
      </c>
      <c r="I191" t="s">
        <v>442</v>
      </c>
      <c r="J191" t="s">
        <v>84</v>
      </c>
      <c r="L191" t="s">
        <v>444</v>
      </c>
      <c r="M191" t="s">
        <v>17</v>
      </c>
      <c r="N191" t="s">
        <v>17</v>
      </c>
      <c r="O191">
        <v>1.6</v>
      </c>
      <c r="P191">
        <v>0.5</v>
      </c>
    </row>
    <row r="192" spans="1:16" x14ac:dyDescent="0.2">
      <c r="A192" t="str">
        <f>IF($G192="","",INDEX('Passages List'!B$3:B$65,MATCH($G192,'Passages List'!$E$3:$E$65,1)))</f>
        <v>Chennai (ex Madras) (INMAA)</v>
      </c>
      <c r="B192" t="str">
        <f>IF($G192="","",INDEX('Passages List'!C$3:C$65,MATCH($G192,'Passages List'!$E$3:$E$65,1)))</f>
        <v>Hazira Port (Surat) Hbr (INHZA)</v>
      </c>
      <c r="C192" s="1">
        <f>IF($G192="","",INDEX('Passages List'!E$3:E$65,MATCH($G192,'Passages List'!$E$3:$E$65,1)))</f>
        <v>46170.536111111112</v>
      </c>
      <c r="D192" s="1">
        <f>IF($G192="","",INDEX('Passages List'!F$3:F$65,MATCH($G192,'Passages List'!$E$3:$E$65,1)))</f>
        <v>46179.086805555555</v>
      </c>
      <c r="E192" t="str">
        <f>IF($G192="","",INDEX('Passages List'!G$3:G$65,MATCH($G192,'Passages List'!$E$3:$E$65,1)))</f>
        <v>Ballast</v>
      </c>
      <c r="F192" t="s">
        <v>99</v>
      </c>
      <c r="G192" s="1">
        <v>46170.583333333336</v>
      </c>
      <c r="H192" t="s">
        <v>445</v>
      </c>
      <c r="I192" t="s">
        <v>446</v>
      </c>
      <c r="J192" t="s">
        <v>84</v>
      </c>
      <c r="K192" t="s">
        <v>623</v>
      </c>
      <c r="L192" t="s">
        <v>447</v>
      </c>
      <c r="M192">
        <v>11.3</v>
      </c>
      <c r="N192" t="s">
        <v>17</v>
      </c>
      <c r="O192">
        <v>0.5</v>
      </c>
      <c r="P192">
        <v>0.1</v>
      </c>
    </row>
    <row r="193" spans="1:16" x14ac:dyDescent="0.2">
      <c r="A193" t="str">
        <f>IF($G193="","",INDEX('Passages List'!B$3:B$65,MATCH($G193,'Passages List'!$E$3:$E$65,1)))</f>
        <v>Chennai (ex Madras) (INMAA)</v>
      </c>
      <c r="B193" t="str">
        <f>IF($G193="","",INDEX('Passages List'!C$3:C$65,MATCH($G193,'Passages List'!$E$3:$E$65,1)))</f>
        <v>Hazira Port (Surat) Hbr (INHZA)</v>
      </c>
      <c r="C193" s="1">
        <f>IF($G193="","",INDEX('Passages List'!E$3:E$65,MATCH($G193,'Passages List'!$E$3:$E$65,1)))</f>
        <v>46170.536111111112</v>
      </c>
      <c r="D193" s="1">
        <f>IF($G193="","",INDEX('Passages List'!F$3:F$65,MATCH($G193,'Passages List'!$E$3:$E$65,1)))</f>
        <v>46179.086805555555</v>
      </c>
      <c r="E193" t="str">
        <f>IF($G193="","",INDEX('Passages List'!G$3:G$65,MATCH($G193,'Passages List'!$E$3:$E$65,1)))</f>
        <v>Ballast</v>
      </c>
      <c r="F193" t="s">
        <v>99</v>
      </c>
      <c r="G193" s="1">
        <v>46170.729166666664</v>
      </c>
      <c r="H193" t="s">
        <v>448</v>
      </c>
      <c r="I193" t="s">
        <v>449</v>
      </c>
      <c r="J193" t="s">
        <v>84</v>
      </c>
      <c r="K193" t="s">
        <v>641</v>
      </c>
      <c r="L193" t="s">
        <v>257</v>
      </c>
      <c r="M193">
        <v>39</v>
      </c>
      <c r="N193" t="s">
        <v>17</v>
      </c>
      <c r="O193">
        <v>2</v>
      </c>
      <c r="P193" t="s">
        <v>17</v>
      </c>
    </row>
    <row r="194" spans="1:16" x14ac:dyDescent="0.2">
      <c r="A194" t="str">
        <f>IF($G194="","",INDEX('Passages List'!B$3:B$65,MATCH($G194,'Passages List'!$E$3:$E$65,1)))</f>
        <v>Chennai (ex Madras) (INMAA)</v>
      </c>
      <c r="B194" t="str">
        <f>IF($G194="","",INDEX('Passages List'!C$3:C$65,MATCH($G194,'Passages List'!$E$3:$E$65,1)))</f>
        <v>Hazira Port (Surat) Hbr (INHZA)</v>
      </c>
      <c r="C194" s="1">
        <f>IF($G194="","",INDEX('Passages List'!E$3:E$65,MATCH($G194,'Passages List'!$E$3:$E$65,1)))</f>
        <v>46170.536111111112</v>
      </c>
      <c r="D194" s="1">
        <f>IF($G194="","",INDEX('Passages List'!F$3:F$65,MATCH($G194,'Passages List'!$E$3:$E$65,1)))</f>
        <v>46179.086805555555</v>
      </c>
      <c r="E194" t="str">
        <f>IF($G194="","",INDEX('Passages List'!G$3:G$65,MATCH($G194,'Passages List'!$E$3:$E$65,1)))</f>
        <v>Ballast</v>
      </c>
      <c r="F194" t="s">
        <v>99</v>
      </c>
      <c r="G194" s="1">
        <v>46171.729166666664</v>
      </c>
      <c r="H194" t="s">
        <v>450</v>
      </c>
      <c r="I194" t="s">
        <v>451</v>
      </c>
      <c r="J194" t="s">
        <v>84</v>
      </c>
      <c r="K194" t="s">
        <v>641</v>
      </c>
      <c r="L194" t="s">
        <v>102</v>
      </c>
      <c r="M194">
        <v>245</v>
      </c>
      <c r="N194" t="s">
        <v>17</v>
      </c>
      <c r="O194">
        <v>14</v>
      </c>
      <c r="P194" t="s">
        <v>17</v>
      </c>
    </row>
    <row r="195" spans="1:16" x14ac:dyDescent="0.2">
      <c r="A195" t="str">
        <f>IF($G195="","",INDEX('Passages List'!B$3:B$65,MATCH($G195,'Passages List'!$E$3:$E$65,1)))</f>
        <v>Chennai (ex Madras) (INMAA)</v>
      </c>
      <c r="B195" t="str">
        <f>IF($G195="","",INDEX('Passages List'!C$3:C$65,MATCH($G195,'Passages List'!$E$3:$E$65,1)))</f>
        <v>Hazira Port (Surat) Hbr (INHZA)</v>
      </c>
      <c r="C195" s="1">
        <f>IF($G195="","",INDEX('Passages List'!E$3:E$65,MATCH($G195,'Passages List'!$E$3:$E$65,1)))</f>
        <v>46170.536111111112</v>
      </c>
      <c r="D195" s="1">
        <f>IF($G195="","",INDEX('Passages List'!F$3:F$65,MATCH($G195,'Passages List'!$E$3:$E$65,1)))</f>
        <v>46179.086805555555</v>
      </c>
      <c r="E195" t="str">
        <f>IF($G195="","",INDEX('Passages List'!G$3:G$65,MATCH($G195,'Passages List'!$E$3:$E$65,1)))</f>
        <v>Ballast</v>
      </c>
      <c r="F195" t="s">
        <v>99</v>
      </c>
      <c r="G195" s="1">
        <v>46172.729166666664</v>
      </c>
      <c r="H195" t="s">
        <v>452</v>
      </c>
      <c r="I195" t="s">
        <v>453</v>
      </c>
      <c r="J195" t="s">
        <v>84</v>
      </c>
      <c r="K195" t="s">
        <v>641</v>
      </c>
      <c r="L195" t="s">
        <v>102</v>
      </c>
      <c r="M195">
        <v>241</v>
      </c>
      <c r="N195" t="s">
        <v>17</v>
      </c>
      <c r="O195">
        <v>13.1</v>
      </c>
      <c r="P195" t="s">
        <v>17</v>
      </c>
    </row>
    <row r="196" spans="1:16" x14ac:dyDescent="0.2">
      <c r="A196" t="str">
        <f>IF($G196="","",INDEX('Passages List'!B$3:B$65,MATCH($G196,'Passages List'!$E$3:$E$65,1)))</f>
        <v>Chennai (ex Madras) (INMAA)</v>
      </c>
      <c r="B196" t="str">
        <f>IF($G196="","",INDEX('Passages List'!C$3:C$65,MATCH($G196,'Passages List'!$E$3:$E$65,1)))</f>
        <v>Hazira Port (Surat) Hbr (INHZA)</v>
      </c>
      <c r="C196" s="1">
        <f>IF($G196="","",INDEX('Passages List'!E$3:E$65,MATCH($G196,'Passages List'!$E$3:$E$65,1)))</f>
        <v>46170.536111111112</v>
      </c>
      <c r="D196" s="1">
        <f>IF($G196="","",INDEX('Passages List'!F$3:F$65,MATCH($G196,'Passages List'!$E$3:$E$65,1)))</f>
        <v>46179.086805555555</v>
      </c>
      <c r="E196" t="str">
        <f>IF($G196="","",INDEX('Passages List'!G$3:G$65,MATCH($G196,'Passages List'!$E$3:$E$65,1)))</f>
        <v>Ballast</v>
      </c>
      <c r="F196" t="s">
        <v>99</v>
      </c>
      <c r="G196" s="1">
        <v>46173.729166666664</v>
      </c>
      <c r="H196" t="s">
        <v>454</v>
      </c>
      <c r="I196" t="s">
        <v>455</v>
      </c>
      <c r="J196" t="s">
        <v>84</v>
      </c>
      <c r="K196" t="s">
        <v>641</v>
      </c>
      <c r="L196" t="s">
        <v>102</v>
      </c>
      <c r="M196">
        <v>248</v>
      </c>
      <c r="N196" t="s">
        <v>17</v>
      </c>
      <c r="O196">
        <v>13.3</v>
      </c>
      <c r="P196" t="s">
        <v>17</v>
      </c>
    </row>
    <row r="197" spans="1:16" x14ac:dyDescent="0.2">
      <c r="A197" t="str">
        <f>IF($G197="","",INDEX('Passages List'!B$3:B$65,MATCH($G197,'Passages List'!$E$3:$E$65,1)))</f>
        <v>Chennai (ex Madras) (INMAA)</v>
      </c>
      <c r="B197" t="str">
        <f>IF($G197="","",INDEX('Passages List'!C$3:C$65,MATCH($G197,'Passages List'!$E$3:$E$65,1)))</f>
        <v>Hazira Port (Surat) Hbr (INHZA)</v>
      </c>
      <c r="C197" s="1">
        <f>IF($G197="","",INDEX('Passages List'!E$3:E$65,MATCH($G197,'Passages List'!$E$3:$E$65,1)))</f>
        <v>46170.536111111112</v>
      </c>
      <c r="D197" s="1">
        <f>IF($G197="","",INDEX('Passages List'!F$3:F$65,MATCH($G197,'Passages List'!$E$3:$E$65,1)))</f>
        <v>46179.086805555555</v>
      </c>
      <c r="E197" t="str">
        <f>IF($G197="","",INDEX('Passages List'!G$3:G$65,MATCH($G197,'Passages List'!$E$3:$E$65,1)))</f>
        <v>Ballast</v>
      </c>
      <c r="F197" t="s">
        <v>99</v>
      </c>
      <c r="G197" s="1">
        <v>46174.729166666664</v>
      </c>
      <c r="H197" t="s">
        <v>456</v>
      </c>
      <c r="I197" t="s">
        <v>457</v>
      </c>
      <c r="J197" t="s">
        <v>84</v>
      </c>
      <c r="K197" t="s">
        <v>641</v>
      </c>
      <c r="L197" t="s">
        <v>102</v>
      </c>
      <c r="M197">
        <v>168</v>
      </c>
      <c r="N197" t="s">
        <v>17</v>
      </c>
      <c r="O197">
        <v>9.5</v>
      </c>
      <c r="P197">
        <v>0.1</v>
      </c>
    </row>
    <row r="198" spans="1:16" x14ac:dyDescent="0.2">
      <c r="A198" t="str">
        <f>IF($G198="","",INDEX('Passages List'!B$3:B$65,MATCH($G198,'Passages List'!$E$3:$E$65,1)))</f>
        <v>Chennai (ex Madras) (INMAA)</v>
      </c>
      <c r="B198" t="str">
        <f>IF($G198="","",INDEX('Passages List'!C$3:C$65,MATCH($G198,'Passages List'!$E$3:$E$65,1)))</f>
        <v>Hazira Port (Surat) Hbr (INHZA)</v>
      </c>
      <c r="C198" s="1">
        <f>IF($G198="","",INDEX('Passages List'!E$3:E$65,MATCH($G198,'Passages List'!$E$3:$E$65,1)))</f>
        <v>46170.536111111112</v>
      </c>
      <c r="D198" s="1">
        <f>IF($G198="","",INDEX('Passages List'!F$3:F$65,MATCH($G198,'Passages List'!$E$3:$E$65,1)))</f>
        <v>46179.086805555555</v>
      </c>
      <c r="E198" t="str">
        <f>IF($G198="","",INDEX('Passages List'!G$3:G$65,MATCH($G198,'Passages List'!$E$3:$E$65,1)))</f>
        <v>Ballast</v>
      </c>
      <c r="F198" t="s">
        <v>99</v>
      </c>
      <c r="G198" s="1">
        <v>46175.729166666664</v>
      </c>
      <c r="H198" t="s">
        <v>458</v>
      </c>
      <c r="I198" t="s">
        <v>459</v>
      </c>
      <c r="J198" t="s">
        <v>84</v>
      </c>
      <c r="K198" t="s">
        <v>641</v>
      </c>
      <c r="L198" t="s">
        <v>102</v>
      </c>
      <c r="M198">
        <v>278</v>
      </c>
      <c r="N198" t="s">
        <v>17</v>
      </c>
      <c r="O198">
        <v>13</v>
      </c>
      <c r="P198" t="s">
        <v>17</v>
      </c>
    </row>
    <row r="199" spans="1:16" x14ac:dyDescent="0.2">
      <c r="A199" t="str">
        <f>IF($G199="","",INDEX('Passages List'!B$3:B$65,MATCH($G199,'Passages List'!$E$3:$E$65,1)))</f>
        <v>Chennai (ex Madras) (INMAA)</v>
      </c>
      <c r="B199" t="str">
        <f>IF($G199="","",INDEX('Passages List'!C$3:C$65,MATCH($G199,'Passages List'!$E$3:$E$65,1)))</f>
        <v>Hazira Port (Surat) Hbr (INHZA)</v>
      </c>
      <c r="C199" s="1">
        <f>IF($G199="","",INDEX('Passages List'!E$3:E$65,MATCH($G199,'Passages List'!$E$3:$E$65,1)))</f>
        <v>46170.536111111112</v>
      </c>
      <c r="D199" s="1">
        <f>IF($G199="","",INDEX('Passages List'!F$3:F$65,MATCH($G199,'Passages List'!$E$3:$E$65,1)))</f>
        <v>46179.086805555555</v>
      </c>
      <c r="E199" t="str">
        <f>IF($G199="","",INDEX('Passages List'!G$3:G$65,MATCH($G199,'Passages List'!$E$3:$E$65,1)))</f>
        <v>Ballast</v>
      </c>
      <c r="F199" t="s">
        <v>99</v>
      </c>
      <c r="G199" s="1">
        <v>46176.729166666664</v>
      </c>
      <c r="H199" t="s">
        <v>460</v>
      </c>
      <c r="I199" t="s">
        <v>461</v>
      </c>
      <c r="J199" t="s">
        <v>84</v>
      </c>
      <c r="K199" t="s">
        <v>641</v>
      </c>
      <c r="L199" t="s">
        <v>102</v>
      </c>
      <c r="M199">
        <v>267</v>
      </c>
      <c r="N199" t="s">
        <v>17</v>
      </c>
      <c r="O199">
        <v>12.8</v>
      </c>
      <c r="P199" t="s">
        <v>17</v>
      </c>
    </row>
    <row r="200" spans="1:16" x14ac:dyDescent="0.2">
      <c r="A200" t="str">
        <f>IF($G200="","",INDEX('Passages List'!B$3:B$65,MATCH($G200,'Passages List'!$E$3:$E$65,1)))</f>
        <v>Chennai (ex Madras) (INMAA)</v>
      </c>
      <c r="B200" t="str">
        <f>IF($G200="","",INDEX('Passages List'!C$3:C$65,MATCH($G200,'Passages List'!$E$3:$E$65,1)))</f>
        <v>Hazira Port (Surat) Hbr (INHZA)</v>
      </c>
      <c r="C200" s="1">
        <f>IF($G200="","",INDEX('Passages List'!E$3:E$65,MATCH($G200,'Passages List'!$E$3:$E$65,1)))</f>
        <v>46170.536111111112</v>
      </c>
      <c r="D200" s="1">
        <f>IF($G200="","",INDEX('Passages List'!F$3:F$65,MATCH($G200,'Passages List'!$E$3:$E$65,1)))</f>
        <v>46179.086805555555</v>
      </c>
      <c r="E200" t="str">
        <f>IF($G200="","",INDEX('Passages List'!G$3:G$65,MATCH($G200,'Passages List'!$E$3:$E$65,1)))</f>
        <v>Ballast</v>
      </c>
      <c r="F200" t="s">
        <v>99</v>
      </c>
      <c r="G200" s="1">
        <v>46177.666666666664</v>
      </c>
      <c r="H200" t="s">
        <v>462</v>
      </c>
      <c r="I200" t="s">
        <v>463</v>
      </c>
      <c r="J200" t="s">
        <v>84</v>
      </c>
      <c r="K200" t="s">
        <v>641</v>
      </c>
      <c r="L200" t="s">
        <v>464</v>
      </c>
      <c r="M200">
        <v>252</v>
      </c>
      <c r="N200" t="s">
        <v>17</v>
      </c>
      <c r="O200">
        <v>11.5</v>
      </c>
      <c r="P200" t="s">
        <v>17</v>
      </c>
    </row>
    <row r="201" spans="1:16" x14ac:dyDescent="0.2">
      <c r="A201" t="str">
        <f>IF($G201="","",INDEX('Passages List'!B$3:B$65,MATCH($G201,'Passages List'!$E$3:$E$65,1)))</f>
        <v>Chennai (ex Madras) (INMAA)</v>
      </c>
      <c r="B201" t="str">
        <f>IF($G201="","",INDEX('Passages List'!C$3:C$65,MATCH($G201,'Passages List'!$E$3:$E$65,1)))</f>
        <v>Hazira Port (Surat) Hbr (INHZA)</v>
      </c>
      <c r="C201" s="1">
        <f>IF($G201="","",INDEX('Passages List'!E$3:E$65,MATCH($G201,'Passages List'!$E$3:$E$65,1)))</f>
        <v>46170.536111111112</v>
      </c>
      <c r="D201" s="1">
        <f>IF($G201="","",INDEX('Passages List'!F$3:F$65,MATCH($G201,'Passages List'!$E$3:$E$65,1)))</f>
        <v>46179.086805555555</v>
      </c>
      <c r="E201" t="str">
        <f>IF($G201="","",INDEX('Passages List'!G$3:G$65,MATCH($G201,'Passages List'!$E$3:$E$65,1)))</f>
        <v>Ballast</v>
      </c>
      <c r="F201" t="s">
        <v>99</v>
      </c>
      <c r="G201" s="1">
        <v>46177.729166666664</v>
      </c>
      <c r="H201" t="s">
        <v>465</v>
      </c>
      <c r="I201" t="s">
        <v>466</v>
      </c>
      <c r="J201" t="s">
        <v>84</v>
      </c>
      <c r="K201" t="s">
        <v>641</v>
      </c>
      <c r="L201" t="s">
        <v>156</v>
      </c>
      <c r="M201">
        <v>2</v>
      </c>
      <c r="N201" t="s">
        <v>17</v>
      </c>
      <c r="O201">
        <v>0.5</v>
      </c>
      <c r="P201" t="s">
        <v>17</v>
      </c>
    </row>
    <row r="202" spans="1:16" x14ac:dyDescent="0.2">
      <c r="A202" t="str">
        <f>IF($G202="","",INDEX('Passages List'!B$3:B$65,MATCH($G202,'Passages List'!$E$3:$E$65,1)))</f>
        <v>Chennai (ex Madras) (INMAA)</v>
      </c>
      <c r="B202" t="str">
        <f>IF($G202="","",INDEX('Passages List'!C$3:C$65,MATCH($G202,'Passages List'!$E$3:$E$65,1)))</f>
        <v>Hazira Port (Surat) Hbr (INHZA)</v>
      </c>
      <c r="C202" s="1">
        <f>IF($G202="","",INDEX('Passages List'!E$3:E$65,MATCH($G202,'Passages List'!$E$3:$E$65,1)))</f>
        <v>46170.536111111112</v>
      </c>
      <c r="D202" s="1">
        <f>IF($G202="","",INDEX('Passages List'!F$3:F$65,MATCH($G202,'Passages List'!$E$3:$E$65,1)))</f>
        <v>46179.086805555555</v>
      </c>
      <c r="E202" t="str">
        <f>IF($G202="","",INDEX('Passages List'!G$3:G$65,MATCH($G202,'Passages List'!$E$3:$E$65,1)))</f>
        <v>Ballast</v>
      </c>
      <c r="F202" t="s">
        <v>99</v>
      </c>
      <c r="G202" s="1">
        <v>46177.792361111111</v>
      </c>
      <c r="H202" t="s">
        <v>467</v>
      </c>
      <c r="I202" t="s">
        <v>468</v>
      </c>
      <c r="J202" t="s">
        <v>84</v>
      </c>
      <c r="K202" t="s">
        <v>641</v>
      </c>
      <c r="L202" t="s">
        <v>469</v>
      </c>
      <c r="M202">
        <v>10.1</v>
      </c>
      <c r="N202" t="s">
        <v>17</v>
      </c>
      <c r="O202">
        <v>0.3</v>
      </c>
      <c r="P202" t="s">
        <v>17</v>
      </c>
    </row>
    <row r="203" spans="1:16" x14ac:dyDescent="0.2">
      <c r="A203" t="str">
        <f>IF($G203="","",INDEX('Passages List'!B$3:B$65,MATCH($G203,'Passages List'!$E$3:$E$65,1)))</f>
        <v>Chennai (ex Madras) (INMAA)</v>
      </c>
      <c r="B203" t="str">
        <f>IF($G203="","",INDEX('Passages List'!C$3:C$65,MATCH($G203,'Passages List'!$E$3:$E$65,1)))</f>
        <v>Hazira Port (Surat) Hbr (INHZA)</v>
      </c>
      <c r="C203" s="1">
        <f>IF($G203="","",INDEX('Passages List'!E$3:E$65,MATCH($G203,'Passages List'!$E$3:$E$65,1)))</f>
        <v>46170.536111111112</v>
      </c>
      <c r="D203" s="1">
        <f>IF($G203="","",INDEX('Passages List'!F$3:F$65,MATCH($G203,'Passages List'!$E$3:$E$65,1)))</f>
        <v>46179.086805555555</v>
      </c>
      <c r="E203" t="str">
        <f>IF($G203="","",INDEX('Passages List'!G$3:G$65,MATCH($G203,'Passages List'!$E$3:$E$65,1)))</f>
        <v>Ballast</v>
      </c>
      <c r="F203" t="s">
        <v>99</v>
      </c>
      <c r="G203" s="1">
        <v>46178.729166666664</v>
      </c>
      <c r="H203" t="s">
        <v>470</v>
      </c>
      <c r="I203" t="s">
        <v>471</v>
      </c>
      <c r="J203" t="s">
        <v>84</v>
      </c>
      <c r="K203" t="s">
        <v>641</v>
      </c>
      <c r="L203" t="s">
        <v>472</v>
      </c>
      <c r="M203">
        <v>5</v>
      </c>
      <c r="N203" t="s">
        <v>17</v>
      </c>
      <c r="O203">
        <v>2.7</v>
      </c>
      <c r="P203">
        <v>0.4</v>
      </c>
    </row>
    <row r="204" spans="1:16" x14ac:dyDescent="0.2">
      <c r="A204" t="str">
        <f>IF($G204="","",INDEX('Passages List'!B$3:B$65,MATCH($G204,'Passages List'!$E$3:$E$65,1)))</f>
        <v/>
      </c>
      <c r="B204" t="str">
        <f>IF($G204="","",INDEX('Passages List'!C$3:C$65,MATCH($G204,'Passages List'!$E$3:$E$65,1)))</f>
        <v>Hazira Port (Surat) Hbr (INHZA)</v>
      </c>
      <c r="C204" s="1">
        <f>IF($G204="","",INDEX('Passages List'!E$3:E$65,MATCH($G204,'Passages List'!$E$3:$E$65,1)))</f>
        <v>46179.086805555555</v>
      </c>
      <c r="D204" s="1">
        <f>IF($G204="","",INDEX('Passages List'!F$3:F$65,MATCH($G204,'Passages List'!$E$3:$E$65,1)))</f>
        <v>46194.636111111111</v>
      </c>
      <c r="E204" t="str">
        <f>IF($G204="","",INDEX('Passages List'!G$3:G$65,MATCH($G204,'Passages List'!$E$3:$E$65,1)))</f>
        <v>Cargo operations</v>
      </c>
      <c r="F204" t="s">
        <v>104</v>
      </c>
      <c r="G204" s="1">
        <v>46179.086805555555</v>
      </c>
      <c r="H204" t="s">
        <v>473</v>
      </c>
      <c r="I204" t="s">
        <v>150</v>
      </c>
      <c r="J204" t="s">
        <v>84</v>
      </c>
      <c r="K204" t="s">
        <v>624</v>
      </c>
      <c r="L204" t="s">
        <v>474</v>
      </c>
      <c r="M204">
        <v>51</v>
      </c>
      <c r="N204" t="s">
        <v>17</v>
      </c>
      <c r="O204">
        <v>3.9</v>
      </c>
      <c r="P204">
        <v>0.1</v>
      </c>
    </row>
    <row r="205" spans="1:16" x14ac:dyDescent="0.2">
      <c r="A205" t="str">
        <f>IF($G205="","",INDEX('Passages List'!B$3:B$65,MATCH($G205,'Passages List'!$E$3:$E$65,1)))</f>
        <v/>
      </c>
      <c r="B205" t="str">
        <f>IF($G205="","",INDEX('Passages List'!C$3:C$65,MATCH($G205,'Passages List'!$E$3:$E$65,1)))</f>
        <v>Hazira Port (Surat) Hbr (INHZA)</v>
      </c>
      <c r="C205" s="1">
        <f>IF($G205="","",INDEX('Passages List'!E$3:E$65,MATCH($G205,'Passages List'!$E$3:$E$65,1)))</f>
        <v>46179.086805555555</v>
      </c>
      <c r="D205" s="1">
        <f>IF($G205="","",INDEX('Passages List'!F$3:F$65,MATCH($G205,'Passages List'!$E$3:$E$65,1)))</f>
        <v>46194.636111111111</v>
      </c>
      <c r="E205" t="str">
        <f>IF($G205="","",INDEX('Passages List'!G$3:G$65,MATCH($G205,'Passages List'!$E$3:$E$65,1)))</f>
        <v>Cargo operations</v>
      </c>
      <c r="F205" t="s">
        <v>105</v>
      </c>
      <c r="G205" s="1">
        <v>46179.729166666664</v>
      </c>
      <c r="H205" t="s">
        <v>473</v>
      </c>
      <c r="I205" t="s">
        <v>150</v>
      </c>
      <c r="J205" t="s">
        <v>84</v>
      </c>
      <c r="L205" t="s">
        <v>475</v>
      </c>
      <c r="M205" t="s">
        <v>17</v>
      </c>
      <c r="N205" t="s">
        <v>17</v>
      </c>
      <c r="O205">
        <v>0.8</v>
      </c>
      <c r="P205">
        <v>0.4</v>
      </c>
    </row>
    <row r="206" spans="1:16" x14ac:dyDescent="0.2">
      <c r="A206" t="str">
        <f>IF($G206="","",INDEX('Passages List'!B$3:B$65,MATCH($G206,'Passages List'!$E$3:$E$65,1)))</f>
        <v/>
      </c>
      <c r="B206" t="str">
        <f>IF($G206="","",INDEX('Passages List'!C$3:C$65,MATCH($G206,'Passages List'!$E$3:$E$65,1)))</f>
        <v>Hazira Port (Surat) Hbr (INHZA)</v>
      </c>
      <c r="C206" s="1">
        <f>IF($G206="","",INDEX('Passages List'!E$3:E$65,MATCH($G206,'Passages List'!$E$3:$E$65,1)))</f>
        <v>46179.086805555555</v>
      </c>
      <c r="D206" s="1">
        <f>IF($G206="","",INDEX('Passages List'!F$3:F$65,MATCH($G206,'Passages List'!$E$3:$E$65,1)))</f>
        <v>46194.636111111111</v>
      </c>
      <c r="E206" t="str">
        <f>IF($G206="","",INDEX('Passages List'!G$3:G$65,MATCH($G206,'Passages List'!$E$3:$E$65,1)))</f>
        <v>Cargo operations</v>
      </c>
      <c r="F206" t="s">
        <v>105</v>
      </c>
      <c r="G206" s="1">
        <v>46180.729166666664</v>
      </c>
      <c r="H206" t="s">
        <v>473</v>
      </c>
      <c r="I206" t="s">
        <v>150</v>
      </c>
      <c r="J206" t="s">
        <v>84</v>
      </c>
      <c r="L206" t="s">
        <v>102</v>
      </c>
      <c r="M206" t="s">
        <v>17</v>
      </c>
      <c r="N206" t="s">
        <v>17</v>
      </c>
      <c r="O206">
        <v>1.1000000000000001</v>
      </c>
      <c r="P206">
        <v>1</v>
      </c>
    </row>
    <row r="207" spans="1:16" x14ac:dyDescent="0.2">
      <c r="A207" t="str">
        <f>IF($G207="","",INDEX('Passages List'!B$3:B$65,MATCH($G207,'Passages List'!$E$3:$E$65,1)))</f>
        <v/>
      </c>
      <c r="B207" t="str">
        <f>IF($G207="","",INDEX('Passages List'!C$3:C$65,MATCH($G207,'Passages List'!$E$3:$E$65,1)))</f>
        <v>Hazira Port (Surat) Hbr (INHZA)</v>
      </c>
      <c r="C207" s="1">
        <f>IF($G207="","",INDEX('Passages List'!E$3:E$65,MATCH($G207,'Passages List'!$E$3:$E$65,1)))</f>
        <v>46179.086805555555</v>
      </c>
      <c r="D207" s="1">
        <f>IF($G207="","",INDEX('Passages List'!F$3:F$65,MATCH($G207,'Passages List'!$E$3:$E$65,1)))</f>
        <v>46194.636111111111</v>
      </c>
      <c r="E207" t="str">
        <f>IF($G207="","",INDEX('Passages List'!G$3:G$65,MATCH($G207,'Passages List'!$E$3:$E$65,1)))</f>
        <v>Cargo operations</v>
      </c>
      <c r="F207" t="s">
        <v>105</v>
      </c>
      <c r="G207" s="1">
        <v>46181.729166666664</v>
      </c>
      <c r="H207" t="s">
        <v>473</v>
      </c>
      <c r="I207" t="s">
        <v>150</v>
      </c>
      <c r="J207" t="s">
        <v>84</v>
      </c>
      <c r="L207" t="s">
        <v>102</v>
      </c>
      <c r="M207" t="s">
        <v>17</v>
      </c>
      <c r="N207" t="s">
        <v>17</v>
      </c>
      <c r="O207">
        <v>1.2</v>
      </c>
      <c r="P207">
        <v>1</v>
      </c>
    </row>
    <row r="208" spans="1:16" x14ac:dyDescent="0.2">
      <c r="A208" t="str">
        <f>IF($G208="","",INDEX('Passages List'!B$3:B$65,MATCH($G208,'Passages List'!$E$3:$E$65,1)))</f>
        <v/>
      </c>
      <c r="B208" t="str">
        <f>IF($G208="","",INDEX('Passages List'!C$3:C$65,MATCH($G208,'Passages List'!$E$3:$E$65,1)))</f>
        <v>Hazira Port (Surat) Hbr (INHZA)</v>
      </c>
      <c r="C208" s="1">
        <f>IF($G208="","",INDEX('Passages List'!E$3:E$65,MATCH($G208,'Passages List'!$E$3:$E$65,1)))</f>
        <v>46179.086805555555</v>
      </c>
      <c r="D208" s="1">
        <f>IF($G208="","",INDEX('Passages List'!F$3:F$65,MATCH($G208,'Passages List'!$E$3:$E$65,1)))</f>
        <v>46194.636111111111</v>
      </c>
      <c r="E208" t="str">
        <f>IF($G208="","",INDEX('Passages List'!G$3:G$65,MATCH($G208,'Passages List'!$E$3:$E$65,1)))</f>
        <v>Cargo operations</v>
      </c>
      <c r="F208" t="s">
        <v>105</v>
      </c>
      <c r="G208" s="1">
        <v>46182.729166666664</v>
      </c>
      <c r="H208" t="s">
        <v>473</v>
      </c>
      <c r="I208" t="s">
        <v>150</v>
      </c>
      <c r="J208" t="s">
        <v>84</v>
      </c>
      <c r="L208" t="s">
        <v>102</v>
      </c>
      <c r="M208" t="s">
        <v>17</v>
      </c>
      <c r="N208" t="s">
        <v>17</v>
      </c>
      <c r="O208">
        <v>1.2</v>
      </c>
      <c r="P208">
        <v>1</v>
      </c>
    </row>
    <row r="209" spans="1:16" x14ac:dyDescent="0.2">
      <c r="A209" t="str">
        <f>IF($G209="","",INDEX('Passages List'!B$3:B$65,MATCH($G209,'Passages List'!$E$3:$E$65,1)))</f>
        <v/>
      </c>
      <c r="B209" t="str">
        <f>IF($G209="","",INDEX('Passages List'!C$3:C$65,MATCH($G209,'Passages List'!$E$3:$E$65,1)))</f>
        <v>Hazira Port (Surat) Hbr (INHZA)</v>
      </c>
      <c r="C209" s="1">
        <f>IF($G209="","",INDEX('Passages List'!E$3:E$65,MATCH($G209,'Passages List'!$E$3:$E$65,1)))</f>
        <v>46179.086805555555</v>
      </c>
      <c r="D209" s="1">
        <f>IF($G209="","",INDEX('Passages List'!F$3:F$65,MATCH($G209,'Passages List'!$E$3:$E$65,1)))</f>
        <v>46194.636111111111</v>
      </c>
      <c r="E209" t="str">
        <f>IF($G209="","",INDEX('Passages List'!G$3:G$65,MATCH($G209,'Passages List'!$E$3:$E$65,1)))</f>
        <v>Cargo operations</v>
      </c>
      <c r="F209" t="s">
        <v>105</v>
      </c>
      <c r="G209" s="1">
        <v>46183.729166666664</v>
      </c>
      <c r="H209" t="s">
        <v>473</v>
      </c>
      <c r="I209" t="s">
        <v>150</v>
      </c>
      <c r="J209" t="s">
        <v>84</v>
      </c>
      <c r="L209" t="s">
        <v>102</v>
      </c>
      <c r="M209" t="s">
        <v>17</v>
      </c>
      <c r="N209" t="s">
        <v>17</v>
      </c>
      <c r="O209">
        <v>3.7</v>
      </c>
      <c r="P209">
        <v>0.4</v>
      </c>
    </row>
    <row r="210" spans="1:16" x14ac:dyDescent="0.2">
      <c r="A210" t="str">
        <f>IF($G210="","",INDEX('Passages List'!B$3:B$65,MATCH($G210,'Passages List'!$E$3:$E$65,1)))</f>
        <v/>
      </c>
      <c r="B210" t="str">
        <f>IF($G210="","",INDEX('Passages List'!C$3:C$65,MATCH($G210,'Passages List'!$E$3:$E$65,1)))</f>
        <v>Hazira Port (Surat) Hbr (INHZA)</v>
      </c>
      <c r="C210" s="1">
        <f>IF($G210="","",INDEX('Passages List'!E$3:E$65,MATCH($G210,'Passages List'!$E$3:$E$65,1)))</f>
        <v>46179.086805555555</v>
      </c>
      <c r="D210" s="1">
        <f>IF($G210="","",INDEX('Passages List'!F$3:F$65,MATCH($G210,'Passages List'!$E$3:$E$65,1)))</f>
        <v>46194.636111111111</v>
      </c>
      <c r="E210" t="str">
        <f>IF($G210="","",INDEX('Passages List'!G$3:G$65,MATCH($G210,'Passages List'!$E$3:$E$65,1)))</f>
        <v>Cargo operations</v>
      </c>
      <c r="F210" t="s">
        <v>105</v>
      </c>
      <c r="G210" s="1">
        <v>46184.729166666664</v>
      </c>
      <c r="H210" t="s">
        <v>473</v>
      </c>
      <c r="I210" t="s">
        <v>150</v>
      </c>
      <c r="J210" t="s">
        <v>84</v>
      </c>
      <c r="L210" t="s">
        <v>102</v>
      </c>
      <c r="M210" t="s">
        <v>17</v>
      </c>
      <c r="N210" t="s">
        <v>17</v>
      </c>
      <c r="O210">
        <v>1.3</v>
      </c>
      <c r="P210">
        <v>0.8</v>
      </c>
    </row>
    <row r="211" spans="1:16" x14ac:dyDescent="0.2">
      <c r="A211" t="str">
        <f>IF($G211="","",INDEX('Passages List'!B$3:B$65,MATCH($G211,'Passages List'!$E$3:$E$65,1)))</f>
        <v/>
      </c>
      <c r="B211" t="str">
        <f>IF($G211="","",INDEX('Passages List'!C$3:C$65,MATCH($G211,'Passages List'!$E$3:$E$65,1)))</f>
        <v>Hazira Port (Surat) Hbr (INHZA)</v>
      </c>
      <c r="C211" s="1">
        <f>IF($G211="","",INDEX('Passages List'!E$3:E$65,MATCH($G211,'Passages List'!$E$3:$E$65,1)))</f>
        <v>46179.086805555555</v>
      </c>
      <c r="D211" s="1">
        <f>IF($G211="","",INDEX('Passages List'!F$3:F$65,MATCH($G211,'Passages List'!$E$3:$E$65,1)))</f>
        <v>46194.636111111111</v>
      </c>
      <c r="E211" t="str">
        <f>IF($G211="","",INDEX('Passages List'!G$3:G$65,MATCH($G211,'Passages List'!$E$3:$E$65,1)))</f>
        <v>Cargo operations</v>
      </c>
      <c r="F211" t="s">
        <v>105</v>
      </c>
      <c r="G211" s="1">
        <v>46185.729166666664</v>
      </c>
      <c r="H211" t="s">
        <v>473</v>
      </c>
      <c r="I211" t="s">
        <v>150</v>
      </c>
      <c r="J211" t="s">
        <v>84</v>
      </c>
      <c r="L211" t="s">
        <v>102</v>
      </c>
      <c r="M211" t="s">
        <v>17</v>
      </c>
      <c r="N211" t="s">
        <v>17</v>
      </c>
      <c r="O211">
        <v>1.3</v>
      </c>
      <c r="P211">
        <v>0.7</v>
      </c>
    </row>
    <row r="212" spans="1:16" x14ac:dyDescent="0.2">
      <c r="A212" t="str">
        <f>IF($G212="","",INDEX('Passages List'!B$3:B$65,MATCH($G212,'Passages List'!$E$3:$E$65,1)))</f>
        <v/>
      </c>
      <c r="B212" t="str">
        <f>IF($G212="","",INDEX('Passages List'!C$3:C$65,MATCH($G212,'Passages List'!$E$3:$E$65,1)))</f>
        <v>Hazira Port (Surat) Hbr (INHZA)</v>
      </c>
      <c r="C212" s="1">
        <f>IF($G212="","",INDEX('Passages List'!E$3:E$65,MATCH($G212,'Passages List'!$E$3:$E$65,1)))</f>
        <v>46179.086805555555</v>
      </c>
      <c r="D212" s="1">
        <f>IF($G212="","",INDEX('Passages List'!F$3:F$65,MATCH($G212,'Passages List'!$E$3:$E$65,1)))</f>
        <v>46194.636111111111</v>
      </c>
      <c r="E212" t="str">
        <f>IF($G212="","",INDEX('Passages List'!G$3:G$65,MATCH($G212,'Passages List'!$E$3:$E$65,1)))</f>
        <v>Cargo operations</v>
      </c>
      <c r="F212" t="s">
        <v>105</v>
      </c>
      <c r="G212" s="1">
        <v>46186.729166666664</v>
      </c>
      <c r="H212" t="s">
        <v>473</v>
      </c>
      <c r="I212" t="s">
        <v>150</v>
      </c>
      <c r="J212" t="s">
        <v>84</v>
      </c>
      <c r="L212" t="s">
        <v>102</v>
      </c>
      <c r="M212" t="s">
        <v>17</v>
      </c>
      <c r="N212" t="s">
        <v>17</v>
      </c>
      <c r="O212">
        <v>1.2</v>
      </c>
      <c r="P212">
        <v>0.6</v>
      </c>
    </row>
    <row r="213" spans="1:16" x14ac:dyDescent="0.2">
      <c r="A213" t="str">
        <f>IF($G213="","",INDEX('Passages List'!B$3:B$65,MATCH($G213,'Passages List'!$E$3:$E$65,1)))</f>
        <v/>
      </c>
      <c r="B213" t="str">
        <f>IF($G213="","",INDEX('Passages List'!C$3:C$65,MATCH($G213,'Passages List'!$E$3:$E$65,1)))</f>
        <v>Hazira Port (Surat) Hbr (INHZA)</v>
      </c>
      <c r="C213" s="1">
        <f>IF($G213="","",INDEX('Passages List'!E$3:E$65,MATCH($G213,'Passages List'!$E$3:$E$65,1)))</f>
        <v>46179.086805555555</v>
      </c>
      <c r="D213" s="1">
        <f>IF($G213="","",INDEX('Passages List'!F$3:F$65,MATCH($G213,'Passages List'!$E$3:$E$65,1)))</f>
        <v>46194.636111111111</v>
      </c>
      <c r="E213" t="str">
        <f>IF($G213="","",INDEX('Passages List'!G$3:G$65,MATCH($G213,'Passages List'!$E$3:$E$65,1)))</f>
        <v>Cargo operations</v>
      </c>
      <c r="F213" t="s">
        <v>105</v>
      </c>
      <c r="G213" s="1">
        <v>46187.729166666664</v>
      </c>
      <c r="H213" t="s">
        <v>473</v>
      </c>
      <c r="I213" t="s">
        <v>150</v>
      </c>
      <c r="J213" t="s">
        <v>84</v>
      </c>
      <c r="L213" t="s">
        <v>102</v>
      </c>
      <c r="M213" t="s">
        <v>17</v>
      </c>
      <c r="N213" t="s">
        <v>17</v>
      </c>
      <c r="O213">
        <v>1.2</v>
      </c>
      <c r="P213">
        <v>0.6</v>
      </c>
    </row>
    <row r="214" spans="1:16" x14ac:dyDescent="0.2">
      <c r="A214" t="str">
        <f>IF($G214="","",INDEX('Passages List'!B$3:B$65,MATCH($G214,'Passages List'!$E$3:$E$65,1)))</f>
        <v/>
      </c>
      <c r="B214" t="str">
        <f>IF($G214="","",INDEX('Passages List'!C$3:C$65,MATCH($G214,'Passages List'!$E$3:$E$65,1)))</f>
        <v>Hazira Port (Surat) Hbr (INHZA)</v>
      </c>
      <c r="C214" s="1">
        <f>IF($G214="","",INDEX('Passages List'!E$3:E$65,MATCH($G214,'Passages List'!$E$3:$E$65,1)))</f>
        <v>46179.086805555555</v>
      </c>
      <c r="D214" s="1">
        <f>IF($G214="","",INDEX('Passages List'!F$3:F$65,MATCH($G214,'Passages List'!$E$3:$E$65,1)))</f>
        <v>46194.636111111111</v>
      </c>
      <c r="E214" t="str">
        <f>IF($G214="","",INDEX('Passages List'!G$3:G$65,MATCH($G214,'Passages List'!$E$3:$E$65,1)))</f>
        <v>Cargo operations</v>
      </c>
      <c r="F214" t="s">
        <v>105</v>
      </c>
      <c r="G214" s="1">
        <v>46188.729166666664</v>
      </c>
      <c r="H214" t="s">
        <v>473</v>
      </c>
      <c r="I214" t="s">
        <v>150</v>
      </c>
      <c r="J214" t="s">
        <v>84</v>
      </c>
      <c r="L214" t="s">
        <v>102</v>
      </c>
      <c r="M214" t="s">
        <v>17</v>
      </c>
      <c r="N214" t="s">
        <v>17</v>
      </c>
      <c r="O214">
        <v>1.2</v>
      </c>
      <c r="P214">
        <v>0.6</v>
      </c>
    </row>
    <row r="215" spans="1:16" x14ac:dyDescent="0.2">
      <c r="A215" t="str">
        <f>IF($G215="","",INDEX('Passages List'!B$3:B$65,MATCH($G215,'Passages List'!$E$3:$E$65,1)))</f>
        <v/>
      </c>
      <c r="B215" t="str">
        <f>IF($G215="","",INDEX('Passages List'!C$3:C$65,MATCH($G215,'Passages List'!$E$3:$E$65,1)))</f>
        <v>Hazira Port (Surat) Hbr (INHZA)</v>
      </c>
      <c r="C215" s="1">
        <f>IF($G215="","",INDEX('Passages List'!E$3:E$65,MATCH($G215,'Passages List'!$E$3:$E$65,1)))</f>
        <v>46179.086805555555</v>
      </c>
      <c r="D215" s="1">
        <f>IF($G215="","",INDEX('Passages List'!F$3:F$65,MATCH($G215,'Passages List'!$E$3:$E$65,1)))</f>
        <v>46194.636111111111</v>
      </c>
      <c r="E215" t="str">
        <f>IF($G215="","",INDEX('Passages List'!G$3:G$65,MATCH($G215,'Passages List'!$E$3:$E$65,1)))</f>
        <v>Cargo operations</v>
      </c>
      <c r="F215" t="s">
        <v>105</v>
      </c>
      <c r="G215" s="1">
        <v>46189.729166666664</v>
      </c>
      <c r="H215" t="s">
        <v>473</v>
      </c>
      <c r="I215" t="s">
        <v>150</v>
      </c>
      <c r="J215" t="s">
        <v>84</v>
      </c>
      <c r="L215" t="s">
        <v>102</v>
      </c>
      <c r="M215" t="s">
        <v>17</v>
      </c>
      <c r="N215" t="s">
        <v>17</v>
      </c>
      <c r="O215">
        <v>1.2</v>
      </c>
      <c r="P215">
        <v>0.6</v>
      </c>
    </row>
    <row r="216" spans="1:16" x14ac:dyDescent="0.2">
      <c r="A216" t="str">
        <f>IF($G216="","",INDEX('Passages List'!B$3:B$65,MATCH($G216,'Passages List'!$E$3:$E$65,1)))</f>
        <v/>
      </c>
      <c r="B216" t="str">
        <f>IF($G216="","",INDEX('Passages List'!C$3:C$65,MATCH($G216,'Passages List'!$E$3:$E$65,1)))</f>
        <v>Hazira Port (Surat) Hbr (INHZA)</v>
      </c>
      <c r="C216" s="1">
        <f>IF($G216="","",INDEX('Passages List'!E$3:E$65,MATCH($G216,'Passages List'!$E$3:$E$65,1)))</f>
        <v>46179.086805555555</v>
      </c>
      <c r="D216" s="1">
        <f>IF($G216="","",INDEX('Passages List'!F$3:F$65,MATCH($G216,'Passages List'!$E$3:$E$65,1)))</f>
        <v>46194.636111111111</v>
      </c>
      <c r="E216" t="str">
        <f>IF($G216="","",INDEX('Passages List'!G$3:G$65,MATCH($G216,'Passages List'!$E$3:$E$65,1)))</f>
        <v>Cargo operations</v>
      </c>
      <c r="F216" t="s">
        <v>105</v>
      </c>
      <c r="G216" s="1">
        <v>46190.729166666664</v>
      </c>
      <c r="H216" t="s">
        <v>473</v>
      </c>
      <c r="I216" t="s">
        <v>150</v>
      </c>
      <c r="J216" t="s">
        <v>84</v>
      </c>
      <c r="L216" t="s">
        <v>102</v>
      </c>
      <c r="M216" t="s">
        <v>17</v>
      </c>
      <c r="N216" t="s">
        <v>17</v>
      </c>
      <c r="O216">
        <v>1.6</v>
      </c>
      <c r="P216">
        <v>0.6</v>
      </c>
    </row>
    <row r="217" spans="1:16" x14ac:dyDescent="0.2">
      <c r="A217" t="str">
        <f>IF($G217="","",INDEX('Passages List'!B$3:B$65,MATCH($G217,'Passages List'!$E$3:$E$65,1)))</f>
        <v/>
      </c>
      <c r="B217" t="str">
        <f>IF($G217="","",INDEX('Passages List'!C$3:C$65,MATCH($G217,'Passages List'!$E$3:$E$65,1)))</f>
        <v>Hazira Port (Surat) Hbr (INHZA)</v>
      </c>
      <c r="C217" s="1">
        <f>IF($G217="","",INDEX('Passages List'!E$3:E$65,MATCH($G217,'Passages List'!$E$3:$E$65,1)))</f>
        <v>46179.086805555555</v>
      </c>
      <c r="D217" s="1">
        <f>IF($G217="","",INDEX('Passages List'!F$3:F$65,MATCH($G217,'Passages List'!$E$3:$E$65,1)))</f>
        <v>46194.636111111111</v>
      </c>
      <c r="E217" t="str">
        <f>IF($G217="","",INDEX('Passages List'!G$3:G$65,MATCH($G217,'Passages List'!$E$3:$E$65,1)))</f>
        <v>Cargo operations</v>
      </c>
      <c r="F217" t="s">
        <v>105</v>
      </c>
      <c r="G217" s="1">
        <v>46191.729166666664</v>
      </c>
      <c r="H217" t="s">
        <v>473</v>
      </c>
      <c r="I217" t="s">
        <v>150</v>
      </c>
      <c r="J217" t="s">
        <v>84</v>
      </c>
      <c r="L217" t="s">
        <v>102</v>
      </c>
      <c r="M217" t="s">
        <v>17</v>
      </c>
      <c r="N217" t="s">
        <v>17</v>
      </c>
      <c r="O217">
        <v>1.1000000000000001</v>
      </c>
      <c r="P217">
        <v>0.6</v>
      </c>
    </row>
    <row r="218" spans="1:16" x14ac:dyDescent="0.2">
      <c r="A218" t="str">
        <f>IF($G218="","",INDEX('Passages List'!B$3:B$65,MATCH($G218,'Passages List'!$E$3:$E$65,1)))</f>
        <v/>
      </c>
      <c r="B218" t="str">
        <f>IF($G218="","",INDEX('Passages List'!C$3:C$65,MATCH($G218,'Passages List'!$E$3:$E$65,1)))</f>
        <v>Hazira Port (Surat) Hbr (INHZA)</v>
      </c>
      <c r="C218" s="1">
        <f>IF($G218="","",INDEX('Passages List'!E$3:E$65,MATCH($G218,'Passages List'!$E$3:$E$65,1)))</f>
        <v>46179.086805555555</v>
      </c>
      <c r="D218" s="1">
        <f>IF($G218="","",INDEX('Passages List'!F$3:F$65,MATCH($G218,'Passages List'!$E$3:$E$65,1)))</f>
        <v>46194.636111111111</v>
      </c>
      <c r="E218" t="str">
        <f>IF($G218="","",INDEX('Passages List'!G$3:G$65,MATCH($G218,'Passages List'!$E$3:$E$65,1)))</f>
        <v>Cargo operations</v>
      </c>
      <c r="F218" t="s">
        <v>105</v>
      </c>
      <c r="G218" s="1">
        <v>46192.729166666664</v>
      </c>
      <c r="H218" t="s">
        <v>473</v>
      </c>
      <c r="I218" t="s">
        <v>150</v>
      </c>
      <c r="J218" t="s">
        <v>84</v>
      </c>
      <c r="L218" t="s">
        <v>102</v>
      </c>
      <c r="M218" t="s">
        <v>17</v>
      </c>
      <c r="N218" t="s">
        <v>17</v>
      </c>
      <c r="O218">
        <v>1.2</v>
      </c>
      <c r="P218">
        <v>0.5</v>
      </c>
    </row>
    <row r="219" spans="1:16" x14ac:dyDescent="0.2">
      <c r="A219" t="str">
        <f>IF($G219="","",INDEX('Passages List'!B$3:B$65,MATCH($G219,'Passages List'!$E$3:$E$65,1)))</f>
        <v/>
      </c>
      <c r="B219" t="str">
        <f>IF($G219="","",INDEX('Passages List'!C$3:C$65,MATCH($G219,'Passages List'!$E$3:$E$65,1)))</f>
        <v>Hazira Port (Surat) Hbr (INHZA)</v>
      </c>
      <c r="C219" s="1">
        <f>IF($G219="","",INDEX('Passages List'!E$3:E$65,MATCH($G219,'Passages List'!$E$3:$E$65,1)))</f>
        <v>46179.086805555555</v>
      </c>
      <c r="D219" s="1">
        <f>IF($G219="","",INDEX('Passages List'!F$3:F$65,MATCH($G219,'Passages List'!$E$3:$E$65,1)))</f>
        <v>46194.636111111111</v>
      </c>
      <c r="E219" t="str">
        <f>IF($G219="","",INDEX('Passages List'!G$3:G$65,MATCH($G219,'Passages List'!$E$3:$E$65,1)))</f>
        <v>Cargo operations</v>
      </c>
      <c r="F219" t="s">
        <v>105</v>
      </c>
      <c r="G219" s="1">
        <v>46193.729166666664</v>
      </c>
      <c r="H219" t="s">
        <v>473</v>
      </c>
      <c r="I219" t="s">
        <v>150</v>
      </c>
      <c r="J219" t="s">
        <v>84</v>
      </c>
      <c r="L219" t="s">
        <v>102</v>
      </c>
      <c r="M219" t="s">
        <v>17</v>
      </c>
      <c r="N219" t="s">
        <v>17</v>
      </c>
      <c r="O219">
        <v>1.8</v>
      </c>
      <c r="P219">
        <v>1</v>
      </c>
    </row>
    <row r="220" spans="1:16" x14ac:dyDescent="0.2">
      <c r="A220" t="str">
        <f>IF($G220="","",INDEX('Passages List'!B$3:B$65,MATCH($G220,'Passages List'!$E$3:$E$65,1)))</f>
        <v>Hazira Port (Surat) Hbr (INHZA)</v>
      </c>
      <c r="B220" t="str">
        <f>IF($G220="","",INDEX('Passages List'!C$3:C$65,MATCH($G220,'Passages List'!$E$3:$E$65,1)))</f>
        <v>Chennai (ex Madras) (INMAA)</v>
      </c>
      <c r="C220" s="1">
        <f>IF($G220="","",INDEX('Passages List'!E$3:E$65,MATCH($G220,'Passages List'!$E$3:$E$65,1)))</f>
        <v>46194.636111111111</v>
      </c>
      <c r="D220" s="1">
        <f>IF($G220="","",INDEX('Passages List'!F$3:F$65,MATCH($G220,'Passages List'!$E$3:$E$65,1)))</f>
        <v>46201.725694444445</v>
      </c>
      <c r="E220" t="str">
        <f>IF($G220="","",INDEX('Passages List'!G$3:G$65,MATCH($G220,'Passages List'!$E$3:$E$65,1)))</f>
        <v>Cargo</v>
      </c>
      <c r="F220" t="s">
        <v>106</v>
      </c>
      <c r="G220" s="1">
        <v>46194.636111111111</v>
      </c>
      <c r="H220" t="s">
        <v>473</v>
      </c>
      <c r="I220" t="s">
        <v>150</v>
      </c>
      <c r="J220" t="s">
        <v>636</v>
      </c>
      <c r="L220" t="s">
        <v>476</v>
      </c>
      <c r="M220" t="s">
        <v>17</v>
      </c>
      <c r="N220">
        <v>15264.7</v>
      </c>
      <c r="O220">
        <v>2.1</v>
      </c>
      <c r="P220">
        <v>1</v>
      </c>
    </row>
    <row r="221" spans="1:16" x14ac:dyDescent="0.2">
      <c r="A221" t="str">
        <f>IF($G221="","",INDEX('Passages List'!B$3:B$65,MATCH($G221,'Passages List'!$E$3:$E$65,1)))</f>
        <v>Hazira Port (Surat) Hbr (INHZA)</v>
      </c>
      <c r="B221" t="str">
        <f>IF($G221="","",INDEX('Passages List'!C$3:C$65,MATCH($G221,'Passages List'!$E$3:$E$65,1)))</f>
        <v>Chennai (ex Madras) (INMAA)</v>
      </c>
      <c r="C221" s="1">
        <f>IF($G221="","",INDEX('Passages List'!E$3:E$65,MATCH($G221,'Passages List'!$E$3:$E$65,1)))</f>
        <v>46194.636111111111</v>
      </c>
      <c r="D221" s="1">
        <f>IF($G221="","",INDEX('Passages List'!F$3:F$65,MATCH($G221,'Passages List'!$E$3:$E$65,1)))</f>
        <v>46201.725694444445</v>
      </c>
      <c r="E221" t="str">
        <f>IF($G221="","",INDEX('Passages List'!G$3:G$65,MATCH($G221,'Passages List'!$E$3:$E$65,1)))</f>
        <v>Cargo</v>
      </c>
      <c r="F221" t="s">
        <v>99</v>
      </c>
      <c r="G221" s="1">
        <v>46194.729166666664</v>
      </c>
      <c r="H221" t="s">
        <v>477</v>
      </c>
      <c r="I221" t="s">
        <v>478</v>
      </c>
      <c r="J221" t="s">
        <v>636</v>
      </c>
      <c r="K221" t="s">
        <v>623</v>
      </c>
      <c r="L221" t="s">
        <v>479</v>
      </c>
      <c r="M221">
        <v>24.5</v>
      </c>
      <c r="N221" t="s">
        <v>17</v>
      </c>
      <c r="O221">
        <v>1.6</v>
      </c>
      <c r="P221">
        <v>0.1</v>
      </c>
    </row>
    <row r="222" spans="1:16" x14ac:dyDescent="0.2">
      <c r="A222" t="str">
        <f>IF($G222="","",INDEX('Passages List'!B$3:B$65,MATCH($G222,'Passages List'!$E$3:$E$65,1)))</f>
        <v>Hazira Port (Surat) Hbr (INHZA)</v>
      </c>
      <c r="B222" t="str">
        <f>IF($G222="","",INDEX('Passages List'!C$3:C$65,MATCH($G222,'Passages List'!$E$3:$E$65,1)))</f>
        <v>Chennai (ex Madras) (INMAA)</v>
      </c>
      <c r="C222" s="1">
        <f>IF($G222="","",INDEX('Passages List'!E$3:E$65,MATCH($G222,'Passages List'!$E$3:$E$65,1)))</f>
        <v>46194.636111111111</v>
      </c>
      <c r="D222" s="1">
        <f>IF($G222="","",INDEX('Passages List'!F$3:F$65,MATCH($G222,'Passages List'!$E$3:$E$65,1)))</f>
        <v>46201.725694444445</v>
      </c>
      <c r="E222" t="str">
        <f>IF($G222="","",INDEX('Passages List'!G$3:G$65,MATCH($G222,'Passages List'!$E$3:$E$65,1)))</f>
        <v>Cargo</v>
      </c>
      <c r="F222" t="s">
        <v>99</v>
      </c>
      <c r="G222" s="1">
        <v>46195.729166666664</v>
      </c>
      <c r="H222" t="s">
        <v>480</v>
      </c>
      <c r="I222" t="s">
        <v>481</v>
      </c>
      <c r="J222" t="s">
        <v>636</v>
      </c>
      <c r="K222" t="s">
        <v>641</v>
      </c>
      <c r="L222" t="s">
        <v>102</v>
      </c>
      <c r="M222">
        <v>240</v>
      </c>
      <c r="N222" t="s">
        <v>17</v>
      </c>
      <c r="O222">
        <v>14.2</v>
      </c>
      <c r="P222" t="s">
        <v>17</v>
      </c>
    </row>
    <row r="223" spans="1:16" x14ac:dyDescent="0.2">
      <c r="A223" t="str">
        <f>IF($G223="","",INDEX('Passages List'!B$3:B$65,MATCH($G223,'Passages List'!$E$3:$E$65,1)))</f>
        <v>Hazira Port (Surat) Hbr (INHZA)</v>
      </c>
      <c r="B223" t="str">
        <f>IF($G223="","",INDEX('Passages List'!C$3:C$65,MATCH($G223,'Passages List'!$E$3:$E$65,1)))</f>
        <v>Chennai (ex Madras) (INMAA)</v>
      </c>
      <c r="C223" s="1">
        <f>IF($G223="","",INDEX('Passages List'!E$3:E$65,MATCH($G223,'Passages List'!$E$3:$E$65,1)))</f>
        <v>46194.636111111111</v>
      </c>
      <c r="D223" s="1">
        <f>IF($G223="","",INDEX('Passages List'!F$3:F$65,MATCH($G223,'Passages List'!$E$3:$E$65,1)))</f>
        <v>46201.725694444445</v>
      </c>
      <c r="E223" t="str">
        <f>IF($G223="","",INDEX('Passages List'!G$3:G$65,MATCH($G223,'Passages List'!$E$3:$E$65,1)))</f>
        <v>Cargo</v>
      </c>
      <c r="F223" t="s">
        <v>99</v>
      </c>
      <c r="G223" s="1">
        <v>46196.729166666664</v>
      </c>
      <c r="H223" t="s">
        <v>482</v>
      </c>
      <c r="I223" t="s">
        <v>483</v>
      </c>
      <c r="J223" t="s">
        <v>636</v>
      </c>
      <c r="K223" t="s">
        <v>641</v>
      </c>
      <c r="L223" t="s">
        <v>102</v>
      </c>
      <c r="M223">
        <v>268</v>
      </c>
      <c r="N223" t="s">
        <v>17</v>
      </c>
      <c r="O223">
        <v>16.399999999999999</v>
      </c>
      <c r="P223" t="s">
        <v>17</v>
      </c>
    </row>
    <row r="224" spans="1:16" x14ac:dyDescent="0.2">
      <c r="A224" t="str">
        <f>IF($G224="","",INDEX('Passages List'!B$3:B$65,MATCH($G224,'Passages List'!$E$3:$E$65,1)))</f>
        <v>Hazira Port (Surat) Hbr (INHZA)</v>
      </c>
      <c r="B224" t="str">
        <f>IF($G224="","",INDEX('Passages List'!C$3:C$65,MATCH($G224,'Passages List'!$E$3:$E$65,1)))</f>
        <v>Chennai (ex Madras) (INMAA)</v>
      </c>
      <c r="C224" s="1">
        <f>IF($G224="","",INDEX('Passages List'!E$3:E$65,MATCH($G224,'Passages List'!$E$3:$E$65,1)))</f>
        <v>46194.636111111111</v>
      </c>
      <c r="D224" s="1">
        <f>IF($G224="","",INDEX('Passages List'!F$3:F$65,MATCH($G224,'Passages List'!$E$3:$E$65,1)))</f>
        <v>46201.725694444445</v>
      </c>
      <c r="E224" t="str">
        <f>IF($G224="","",INDEX('Passages List'!G$3:G$65,MATCH($G224,'Passages List'!$E$3:$E$65,1)))</f>
        <v>Cargo</v>
      </c>
      <c r="F224" t="s">
        <v>99</v>
      </c>
      <c r="G224" s="1">
        <v>46197.729166666664</v>
      </c>
      <c r="H224" t="s">
        <v>484</v>
      </c>
      <c r="I224" t="s">
        <v>485</v>
      </c>
      <c r="J224" t="s">
        <v>636</v>
      </c>
      <c r="K224" t="s">
        <v>641</v>
      </c>
      <c r="L224" t="s">
        <v>102</v>
      </c>
      <c r="M224">
        <v>241.6</v>
      </c>
      <c r="N224" t="s">
        <v>17</v>
      </c>
      <c r="O224">
        <v>11.5</v>
      </c>
      <c r="P224">
        <v>2</v>
      </c>
    </row>
    <row r="225" spans="1:16" x14ac:dyDescent="0.2">
      <c r="A225" t="str">
        <f>IF($G225="","",INDEX('Passages List'!B$3:B$65,MATCH($G225,'Passages List'!$E$3:$E$65,1)))</f>
        <v>Hazira Port (Surat) Hbr (INHZA)</v>
      </c>
      <c r="B225" t="str">
        <f>IF($G225="","",INDEX('Passages List'!C$3:C$65,MATCH($G225,'Passages List'!$E$3:$E$65,1)))</f>
        <v>Chennai (ex Madras) (INMAA)</v>
      </c>
      <c r="C225" s="1">
        <f>IF($G225="","",INDEX('Passages List'!E$3:E$65,MATCH($G225,'Passages List'!$E$3:$E$65,1)))</f>
        <v>46194.636111111111</v>
      </c>
      <c r="D225" s="1">
        <f>IF($G225="","",INDEX('Passages List'!F$3:F$65,MATCH($G225,'Passages List'!$E$3:$E$65,1)))</f>
        <v>46201.725694444445</v>
      </c>
      <c r="E225" t="str">
        <f>IF($G225="","",INDEX('Passages List'!G$3:G$65,MATCH($G225,'Passages List'!$E$3:$E$65,1)))</f>
        <v>Cargo</v>
      </c>
      <c r="F225" t="s">
        <v>99</v>
      </c>
      <c r="G225" s="1">
        <v>46198.729166666664</v>
      </c>
      <c r="H225" t="s">
        <v>486</v>
      </c>
      <c r="I225" t="s">
        <v>487</v>
      </c>
      <c r="J225" t="s">
        <v>636</v>
      </c>
      <c r="K225" t="s">
        <v>641</v>
      </c>
      <c r="L225" t="s">
        <v>102</v>
      </c>
      <c r="M225">
        <v>223</v>
      </c>
      <c r="N225" t="s">
        <v>17</v>
      </c>
      <c r="O225">
        <v>10</v>
      </c>
      <c r="P225">
        <v>0.1</v>
      </c>
    </row>
    <row r="226" spans="1:16" x14ac:dyDescent="0.2">
      <c r="A226" t="str">
        <f>IF($G226="","",INDEX('Passages List'!B$3:B$65,MATCH($G226,'Passages List'!$E$3:$E$65,1)))</f>
        <v>Hazira Port (Surat) Hbr (INHZA)</v>
      </c>
      <c r="B226" t="str">
        <f>IF($G226="","",INDEX('Passages List'!C$3:C$65,MATCH($G226,'Passages List'!$E$3:$E$65,1)))</f>
        <v>Chennai (ex Madras) (INMAA)</v>
      </c>
      <c r="C226" s="1">
        <f>IF($G226="","",INDEX('Passages List'!E$3:E$65,MATCH($G226,'Passages List'!$E$3:$E$65,1)))</f>
        <v>46194.636111111111</v>
      </c>
      <c r="D226" s="1">
        <f>IF($G226="","",INDEX('Passages List'!F$3:F$65,MATCH($G226,'Passages List'!$E$3:$E$65,1)))</f>
        <v>46201.725694444445</v>
      </c>
      <c r="E226" t="str">
        <f>IF($G226="","",INDEX('Passages List'!G$3:G$65,MATCH($G226,'Passages List'!$E$3:$E$65,1)))</f>
        <v>Cargo</v>
      </c>
      <c r="F226" t="s">
        <v>99</v>
      </c>
      <c r="G226" s="1">
        <v>46199.729166666664</v>
      </c>
      <c r="H226" t="s">
        <v>488</v>
      </c>
      <c r="I226" t="s">
        <v>489</v>
      </c>
      <c r="J226" t="s">
        <v>636</v>
      </c>
      <c r="K226" t="s">
        <v>641</v>
      </c>
      <c r="L226" t="s">
        <v>102</v>
      </c>
      <c r="M226">
        <v>278</v>
      </c>
      <c r="N226" t="s">
        <v>17</v>
      </c>
      <c r="O226">
        <v>16.100000000000001</v>
      </c>
      <c r="P226">
        <v>0.1</v>
      </c>
    </row>
    <row r="227" spans="1:16" x14ac:dyDescent="0.2">
      <c r="A227" t="str">
        <f>IF($G227="","",INDEX('Passages List'!B$3:B$65,MATCH($G227,'Passages List'!$E$3:$E$65,1)))</f>
        <v>Hazira Port (Surat) Hbr (INHZA)</v>
      </c>
      <c r="B227" t="str">
        <f>IF($G227="","",INDEX('Passages List'!C$3:C$65,MATCH($G227,'Passages List'!$E$3:$E$65,1)))</f>
        <v>Chennai (ex Madras) (INMAA)</v>
      </c>
      <c r="C227" s="1">
        <f>IF($G227="","",INDEX('Passages List'!E$3:E$65,MATCH($G227,'Passages List'!$E$3:$E$65,1)))</f>
        <v>46194.636111111111</v>
      </c>
      <c r="D227" s="1">
        <f>IF($G227="","",INDEX('Passages List'!F$3:F$65,MATCH($G227,'Passages List'!$E$3:$E$65,1)))</f>
        <v>46201.725694444445</v>
      </c>
      <c r="E227" t="str">
        <f>IF($G227="","",INDEX('Passages List'!G$3:G$65,MATCH($G227,'Passages List'!$E$3:$E$65,1)))</f>
        <v>Cargo</v>
      </c>
      <c r="F227" t="s">
        <v>99</v>
      </c>
      <c r="G227" s="1">
        <v>46200.729166666664</v>
      </c>
      <c r="H227" t="s">
        <v>490</v>
      </c>
      <c r="I227" t="s">
        <v>491</v>
      </c>
      <c r="J227" t="s">
        <v>636</v>
      </c>
      <c r="K227" t="s">
        <v>641</v>
      </c>
      <c r="L227" t="s">
        <v>102</v>
      </c>
      <c r="M227">
        <v>255.5</v>
      </c>
      <c r="N227" t="s">
        <v>17</v>
      </c>
      <c r="O227">
        <v>16.100000000000001</v>
      </c>
      <c r="P227">
        <v>2</v>
      </c>
    </row>
    <row r="228" spans="1:16" x14ac:dyDescent="0.2">
      <c r="A228" t="str">
        <f>IF($G228="","",INDEX('Passages List'!B$3:B$65,MATCH($G228,'Passages List'!$E$3:$E$65,1)))</f>
        <v>Hazira Port (Surat) Hbr (INHZA)</v>
      </c>
      <c r="B228" t="str">
        <f>IF($G228="","",INDEX('Passages List'!C$3:C$65,MATCH($G228,'Passages List'!$E$3:$E$65,1)))</f>
        <v>Chennai (ex Madras) (INMAA)</v>
      </c>
      <c r="C228" s="1">
        <f>IF($G228="","",INDEX('Passages List'!E$3:E$65,MATCH($G228,'Passages List'!$E$3:$E$65,1)))</f>
        <v>46194.636111111111</v>
      </c>
      <c r="D228" s="1">
        <f>IF($G228="","",INDEX('Passages List'!F$3:F$65,MATCH($G228,'Passages List'!$E$3:$E$65,1)))</f>
        <v>46201.725694444445</v>
      </c>
      <c r="E228" t="str">
        <f>IF($G228="","",INDEX('Passages List'!G$3:G$65,MATCH($G228,'Passages List'!$E$3:$E$65,1)))</f>
        <v>Cargo</v>
      </c>
      <c r="F228" t="s">
        <v>99</v>
      </c>
      <c r="G228" s="1">
        <v>46201.591666666667</v>
      </c>
      <c r="H228" t="s">
        <v>492</v>
      </c>
      <c r="I228" t="s">
        <v>493</v>
      </c>
      <c r="J228" t="s">
        <v>636</v>
      </c>
      <c r="K228" t="s">
        <v>641</v>
      </c>
      <c r="L228" t="s">
        <v>494</v>
      </c>
      <c r="M228">
        <v>232.5</v>
      </c>
      <c r="N228" t="s">
        <v>17</v>
      </c>
      <c r="O228">
        <v>13.3</v>
      </c>
      <c r="P228" t="s">
        <v>17</v>
      </c>
    </row>
    <row r="229" spans="1:16" x14ac:dyDescent="0.2">
      <c r="A229" t="str">
        <f>IF($G229="","",INDEX('Passages List'!B$3:B$65,MATCH($G229,'Passages List'!$E$3:$E$65,1)))</f>
        <v/>
      </c>
      <c r="B229" t="str">
        <f>IF($G229="","",INDEX('Passages List'!C$3:C$65,MATCH($G229,'Passages List'!$E$3:$E$65,1)))</f>
        <v>Chennai (ex Madras) (INMAA)</v>
      </c>
      <c r="C229" s="1">
        <f>IF($G229="","",INDEX('Passages List'!E$3:E$65,MATCH($G229,'Passages List'!$E$3:$E$65,1)))</f>
        <v>46201.725694444445</v>
      </c>
      <c r="D229" s="1">
        <f>IF($G229="","",INDEX('Passages List'!F$3:F$65,MATCH($G229,'Passages List'!$E$3:$E$65,1)))</f>
        <v>46203.172222222223</v>
      </c>
      <c r="E229" t="str">
        <f>IF($G229="","",INDEX('Passages List'!G$3:G$65,MATCH($G229,'Passages List'!$E$3:$E$65,1)))</f>
        <v>Cargo operations</v>
      </c>
      <c r="F229" t="s">
        <v>104</v>
      </c>
      <c r="G229" s="1">
        <v>46201.725694444445</v>
      </c>
      <c r="H229" t="s">
        <v>326</v>
      </c>
      <c r="I229" t="s">
        <v>442</v>
      </c>
      <c r="J229" t="s">
        <v>636</v>
      </c>
      <c r="K229" t="s">
        <v>624</v>
      </c>
      <c r="L229" t="s">
        <v>495</v>
      </c>
      <c r="M229">
        <v>13.7</v>
      </c>
      <c r="N229">
        <v>15264.7</v>
      </c>
      <c r="O229">
        <v>0.8</v>
      </c>
      <c r="P229">
        <v>0.2</v>
      </c>
    </row>
    <row r="230" spans="1:16" x14ac:dyDescent="0.2">
      <c r="A230" t="str">
        <f>IF($G230="","",INDEX('Passages List'!B$3:B$65,MATCH($G230,'Passages List'!$E$3:$E$65,1)))</f>
        <v/>
      </c>
      <c r="B230" t="str">
        <f>IF($G230="","",INDEX('Passages List'!C$3:C$65,MATCH($G230,'Passages List'!$E$3:$E$65,1)))</f>
        <v>Chennai (ex Madras) (INMAA)</v>
      </c>
      <c r="C230" s="1">
        <f>IF($G230="","",INDEX('Passages List'!E$3:E$65,MATCH($G230,'Passages List'!$E$3:$E$65,1)))</f>
        <v>46201.725694444445</v>
      </c>
      <c r="D230" s="1">
        <f>IF($G230="","",INDEX('Passages List'!F$3:F$65,MATCH($G230,'Passages List'!$E$3:$E$65,1)))</f>
        <v>46203.172222222223</v>
      </c>
      <c r="E230" t="str">
        <f>IF($G230="","",INDEX('Passages List'!G$3:G$65,MATCH($G230,'Passages List'!$E$3:$E$65,1)))</f>
        <v>Cargo operations</v>
      </c>
      <c r="F230" t="s">
        <v>105</v>
      </c>
      <c r="G230" s="1">
        <v>46201.729166666664</v>
      </c>
      <c r="H230" t="s">
        <v>326</v>
      </c>
      <c r="I230" t="s">
        <v>442</v>
      </c>
      <c r="J230" t="s">
        <v>636</v>
      </c>
      <c r="L230" t="s">
        <v>496</v>
      </c>
      <c r="M230" t="s">
        <v>17</v>
      </c>
      <c r="N230" t="s">
        <v>17</v>
      </c>
      <c r="O230" t="s">
        <v>17</v>
      </c>
      <c r="P230" t="s">
        <v>17</v>
      </c>
    </row>
    <row r="231" spans="1:16" x14ac:dyDescent="0.2">
      <c r="A231" t="str">
        <f>IF($G231="","",INDEX('Passages List'!B$3:B$65,MATCH($G231,'Passages List'!$E$3:$E$65,1)))</f>
        <v/>
      </c>
      <c r="B231" t="str">
        <f>IF($G231="","",INDEX('Passages List'!C$3:C$65,MATCH($G231,'Passages List'!$E$3:$E$65,1)))</f>
        <v>Chennai (ex Madras) (INMAA)</v>
      </c>
      <c r="C231" s="1">
        <f>IF($G231="","",INDEX('Passages List'!E$3:E$65,MATCH($G231,'Passages List'!$E$3:$E$65,1)))</f>
        <v>46201.725694444445</v>
      </c>
      <c r="D231" s="1">
        <f>IF($G231="","",INDEX('Passages List'!F$3:F$65,MATCH($G231,'Passages List'!$E$3:$E$65,1)))</f>
        <v>46203.172222222223</v>
      </c>
      <c r="E231" t="str">
        <f>IF($G231="","",INDEX('Passages List'!G$3:G$65,MATCH($G231,'Passages List'!$E$3:$E$65,1)))</f>
        <v>Cargo operations</v>
      </c>
      <c r="F231" t="s">
        <v>105</v>
      </c>
      <c r="G231" s="1">
        <v>46202.729166666664</v>
      </c>
      <c r="H231" t="s">
        <v>326</v>
      </c>
      <c r="I231" t="s">
        <v>442</v>
      </c>
      <c r="J231" t="s">
        <v>636</v>
      </c>
      <c r="L231" t="s">
        <v>102</v>
      </c>
      <c r="M231" t="s">
        <v>17</v>
      </c>
      <c r="N231" t="s">
        <v>17</v>
      </c>
      <c r="O231">
        <v>2.4</v>
      </c>
      <c r="P231">
        <v>0.8</v>
      </c>
    </row>
    <row r="232" spans="1:16" x14ac:dyDescent="0.2">
      <c r="A232" t="str">
        <f>IF($G232="","",INDEX('Passages List'!B$3:B$65,MATCH($G232,'Passages List'!$E$3:$E$65,1)))</f>
        <v>Chennai (ex Madras) (INMAA)</v>
      </c>
      <c r="B232" t="str">
        <f>IF($G232="","",INDEX('Passages List'!C$3:C$65,MATCH($G232,'Passages List'!$E$3:$E$65,1)))</f>
        <v>Hazira Port (Surat) Hbr (INHZA)</v>
      </c>
      <c r="C232" s="1">
        <f>IF($G232="","",INDEX('Passages List'!E$3:E$65,MATCH($G232,'Passages List'!$E$3:$E$65,1)))</f>
        <v>46203.172222222223</v>
      </c>
      <c r="D232" s="1">
        <f>IF($G232="","",INDEX('Passages List'!F$3:F$65,MATCH($G232,'Passages List'!$E$3:$E$65,1)))</f>
        <v>46210.945833333331</v>
      </c>
      <c r="E232" t="str">
        <f>IF($G232="","",INDEX('Passages List'!G$3:G$65,MATCH($G232,'Passages List'!$E$3:$E$65,1)))</f>
        <v>Ballast</v>
      </c>
      <c r="F232" t="s">
        <v>106</v>
      </c>
      <c r="G232" s="1">
        <v>46203.172222222223</v>
      </c>
      <c r="H232" t="s">
        <v>326</v>
      </c>
      <c r="I232" t="s">
        <v>442</v>
      </c>
      <c r="J232" t="s">
        <v>85</v>
      </c>
      <c r="L232" t="s">
        <v>497</v>
      </c>
      <c r="M232" t="s">
        <v>17</v>
      </c>
      <c r="N232" t="s">
        <v>17</v>
      </c>
      <c r="O232">
        <v>1</v>
      </c>
      <c r="P232">
        <v>0.3</v>
      </c>
    </row>
    <row r="233" spans="1:16" x14ac:dyDescent="0.2">
      <c r="A233" t="str">
        <f>IF($G233="","",INDEX('Passages List'!B$3:B$65,MATCH($G233,'Passages List'!$E$3:$E$65,1)))</f>
        <v>Chennai (ex Madras) (INMAA)</v>
      </c>
      <c r="B233" t="str">
        <f>IF($G233="","",INDEX('Passages List'!C$3:C$65,MATCH($G233,'Passages List'!$E$3:$E$65,1)))</f>
        <v>Hazira Port (Surat) Hbr (INHZA)</v>
      </c>
      <c r="C233" s="1">
        <f>IF($G233="","",INDEX('Passages List'!E$3:E$65,MATCH($G233,'Passages List'!$E$3:$E$65,1)))</f>
        <v>46203.172222222223</v>
      </c>
      <c r="D233" s="1">
        <f>IF($G233="","",INDEX('Passages List'!F$3:F$65,MATCH($G233,'Passages List'!$E$3:$E$65,1)))</f>
        <v>46210.945833333331</v>
      </c>
      <c r="E233" t="str">
        <f>IF($G233="","",INDEX('Passages List'!G$3:G$65,MATCH($G233,'Passages List'!$E$3:$E$65,1)))</f>
        <v>Ballast</v>
      </c>
      <c r="F233" t="s">
        <v>99</v>
      </c>
      <c r="G233" s="1">
        <v>46203.216666666667</v>
      </c>
      <c r="H233" t="s">
        <v>498</v>
      </c>
      <c r="I233" t="s">
        <v>499</v>
      </c>
      <c r="J233" t="s">
        <v>85</v>
      </c>
      <c r="K233" t="s">
        <v>623</v>
      </c>
      <c r="L233" t="s">
        <v>500</v>
      </c>
      <c r="M233">
        <v>6</v>
      </c>
      <c r="N233" t="s">
        <v>17</v>
      </c>
      <c r="O233">
        <v>0.5</v>
      </c>
      <c r="P233" t="s">
        <v>17</v>
      </c>
    </row>
    <row r="234" spans="1:16" x14ac:dyDescent="0.2">
      <c r="A234" t="str">
        <f>IF($G234="","",INDEX('Passages List'!B$3:B$65,MATCH($G234,'Passages List'!$E$3:$E$65,1)))</f>
        <v>Chennai (ex Madras) (INMAA)</v>
      </c>
      <c r="B234" t="str">
        <f>IF($G234="","",INDEX('Passages List'!C$3:C$65,MATCH($G234,'Passages List'!$E$3:$E$65,1)))</f>
        <v>Hazira Port (Surat) Hbr (INHZA)</v>
      </c>
      <c r="C234" s="1">
        <f>IF($G234="","",INDEX('Passages List'!E$3:E$65,MATCH($G234,'Passages List'!$E$3:$E$65,1)))</f>
        <v>46203.172222222223</v>
      </c>
      <c r="D234" s="1">
        <f>IF($G234="","",INDEX('Passages List'!F$3:F$65,MATCH($G234,'Passages List'!$E$3:$E$65,1)))</f>
        <v>46210.945833333331</v>
      </c>
      <c r="E234" t="str">
        <f>IF($G234="","",INDEX('Passages List'!G$3:G$65,MATCH($G234,'Passages List'!$E$3:$E$65,1)))</f>
        <v>Ballast</v>
      </c>
      <c r="F234" t="s">
        <v>99</v>
      </c>
      <c r="G234" s="1">
        <v>46203.729166666664</v>
      </c>
      <c r="H234" t="s">
        <v>501</v>
      </c>
      <c r="I234" t="s">
        <v>502</v>
      </c>
      <c r="J234" t="s">
        <v>85</v>
      </c>
      <c r="K234" t="s">
        <v>641</v>
      </c>
      <c r="L234" t="s">
        <v>503</v>
      </c>
      <c r="M234">
        <v>136</v>
      </c>
      <c r="N234" t="s">
        <v>17</v>
      </c>
      <c r="O234">
        <v>7.5</v>
      </c>
      <c r="P234" t="s">
        <v>17</v>
      </c>
    </row>
    <row r="235" spans="1:16" x14ac:dyDescent="0.2">
      <c r="A235" t="str">
        <f>IF($G235="","",INDEX('Passages List'!B$3:B$65,MATCH($G235,'Passages List'!$E$3:$E$65,1)))</f>
        <v>Chennai (ex Madras) (INMAA)</v>
      </c>
      <c r="B235" t="str">
        <f>IF($G235="","",INDEX('Passages List'!C$3:C$65,MATCH($G235,'Passages List'!$E$3:$E$65,1)))</f>
        <v>Hazira Port (Surat) Hbr (INHZA)</v>
      </c>
      <c r="C235" s="1">
        <f>IF($G235="","",INDEX('Passages List'!E$3:E$65,MATCH($G235,'Passages List'!$E$3:$E$65,1)))</f>
        <v>46203.172222222223</v>
      </c>
      <c r="D235" s="1">
        <f>IF($G235="","",INDEX('Passages List'!F$3:F$65,MATCH($G235,'Passages List'!$E$3:$E$65,1)))</f>
        <v>46210.945833333331</v>
      </c>
      <c r="E235" t="str">
        <f>IF($G235="","",INDEX('Passages List'!G$3:G$65,MATCH($G235,'Passages List'!$E$3:$E$65,1)))</f>
        <v>Ballast</v>
      </c>
      <c r="F235" t="s">
        <v>99</v>
      </c>
      <c r="G235" s="1">
        <v>46204.729166666664</v>
      </c>
      <c r="H235" t="s">
        <v>504</v>
      </c>
      <c r="I235" t="s">
        <v>505</v>
      </c>
      <c r="J235" t="s">
        <v>85</v>
      </c>
      <c r="K235" t="s">
        <v>641</v>
      </c>
      <c r="L235" t="s">
        <v>102</v>
      </c>
      <c r="M235">
        <v>282</v>
      </c>
      <c r="N235" t="s">
        <v>17</v>
      </c>
      <c r="O235">
        <v>14.7</v>
      </c>
      <c r="P235" t="s">
        <v>17</v>
      </c>
    </row>
    <row r="236" spans="1:16" x14ac:dyDescent="0.2">
      <c r="A236" t="str">
        <f>IF($G236="","",INDEX('Passages List'!B$3:B$65,MATCH($G236,'Passages List'!$E$3:$E$65,1)))</f>
        <v>Chennai (ex Madras) (INMAA)</v>
      </c>
      <c r="B236" t="str">
        <f>IF($G236="","",INDEX('Passages List'!C$3:C$65,MATCH($G236,'Passages List'!$E$3:$E$65,1)))</f>
        <v>Hazira Port (Surat) Hbr (INHZA)</v>
      </c>
      <c r="C236" s="1">
        <f>IF($G236="","",INDEX('Passages List'!E$3:E$65,MATCH($G236,'Passages List'!$E$3:$E$65,1)))</f>
        <v>46203.172222222223</v>
      </c>
      <c r="D236" s="1">
        <f>IF($G236="","",INDEX('Passages List'!F$3:F$65,MATCH($G236,'Passages List'!$E$3:$E$65,1)))</f>
        <v>46210.945833333331</v>
      </c>
      <c r="E236" t="str">
        <f>IF($G236="","",INDEX('Passages List'!G$3:G$65,MATCH($G236,'Passages List'!$E$3:$E$65,1)))</f>
        <v>Ballast</v>
      </c>
      <c r="F236" t="s">
        <v>99</v>
      </c>
      <c r="G236" s="1">
        <v>46205.729166666664</v>
      </c>
      <c r="H236" t="s">
        <v>506</v>
      </c>
      <c r="I236" t="s">
        <v>507</v>
      </c>
      <c r="J236" t="s">
        <v>85</v>
      </c>
      <c r="K236" t="s">
        <v>641</v>
      </c>
      <c r="L236" t="s">
        <v>102</v>
      </c>
      <c r="M236">
        <v>249</v>
      </c>
      <c r="N236" t="s">
        <v>17</v>
      </c>
      <c r="O236">
        <v>14.9</v>
      </c>
      <c r="P236" t="s">
        <v>17</v>
      </c>
    </row>
    <row r="237" spans="1:16" x14ac:dyDescent="0.2">
      <c r="A237" t="str">
        <f>IF($G237="","",INDEX('Passages List'!B$3:B$65,MATCH($G237,'Passages List'!$E$3:$E$65,1)))</f>
        <v>Chennai (ex Madras) (INMAA)</v>
      </c>
      <c r="B237" t="str">
        <f>IF($G237="","",INDEX('Passages List'!C$3:C$65,MATCH($G237,'Passages List'!$E$3:$E$65,1)))</f>
        <v>Hazira Port (Surat) Hbr (INHZA)</v>
      </c>
      <c r="C237" s="1">
        <f>IF($G237="","",INDEX('Passages List'!E$3:E$65,MATCH($G237,'Passages List'!$E$3:$E$65,1)))</f>
        <v>46203.172222222223</v>
      </c>
      <c r="D237" s="1">
        <f>IF($G237="","",INDEX('Passages List'!F$3:F$65,MATCH($G237,'Passages List'!$E$3:$E$65,1)))</f>
        <v>46210.945833333331</v>
      </c>
      <c r="E237" t="str">
        <f>IF($G237="","",INDEX('Passages List'!G$3:G$65,MATCH($G237,'Passages List'!$E$3:$E$65,1)))</f>
        <v>Ballast</v>
      </c>
      <c r="F237" t="s">
        <v>99</v>
      </c>
      <c r="G237" s="1">
        <v>46206.729166666664</v>
      </c>
      <c r="H237" t="s">
        <v>508</v>
      </c>
      <c r="I237" t="s">
        <v>509</v>
      </c>
      <c r="J237" t="s">
        <v>85</v>
      </c>
      <c r="K237" t="s">
        <v>641</v>
      </c>
      <c r="L237" t="s">
        <v>102</v>
      </c>
      <c r="M237">
        <v>215</v>
      </c>
      <c r="N237" t="s">
        <v>17</v>
      </c>
      <c r="O237">
        <v>15.4</v>
      </c>
      <c r="P237" t="s">
        <v>17</v>
      </c>
    </row>
    <row r="238" spans="1:16" x14ac:dyDescent="0.2">
      <c r="A238" t="str">
        <f>IF($G238="","",INDEX('Passages List'!B$3:B$65,MATCH($G238,'Passages List'!$E$3:$E$65,1)))</f>
        <v>Chennai (ex Madras) (INMAA)</v>
      </c>
      <c r="B238" t="str">
        <f>IF($G238="","",INDEX('Passages List'!C$3:C$65,MATCH($G238,'Passages List'!$E$3:$E$65,1)))</f>
        <v>Hazira Port (Surat) Hbr (INHZA)</v>
      </c>
      <c r="C238" s="1">
        <f>IF($G238="","",INDEX('Passages List'!E$3:E$65,MATCH($G238,'Passages List'!$E$3:$E$65,1)))</f>
        <v>46203.172222222223</v>
      </c>
      <c r="D238" s="1">
        <f>IF($G238="","",INDEX('Passages List'!F$3:F$65,MATCH($G238,'Passages List'!$E$3:$E$65,1)))</f>
        <v>46210.945833333331</v>
      </c>
      <c r="E238" t="str">
        <f>IF($G238="","",INDEX('Passages List'!G$3:G$65,MATCH($G238,'Passages List'!$E$3:$E$65,1)))</f>
        <v>Ballast</v>
      </c>
      <c r="F238" t="s">
        <v>99</v>
      </c>
      <c r="G238" s="1">
        <v>46207.729166666664</v>
      </c>
      <c r="H238" t="s">
        <v>510</v>
      </c>
      <c r="I238" t="s">
        <v>511</v>
      </c>
      <c r="J238" t="s">
        <v>85</v>
      </c>
      <c r="K238" t="s">
        <v>641</v>
      </c>
      <c r="L238" t="s">
        <v>102</v>
      </c>
      <c r="M238">
        <v>229</v>
      </c>
      <c r="N238" t="s">
        <v>17</v>
      </c>
      <c r="O238">
        <v>15.5</v>
      </c>
      <c r="P238" t="s">
        <v>17</v>
      </c>
    </row>
    <row r="239" spans="1:16" x14ac:dyDescent="0.2">
      <c r="A239" t="str">
        <f>IF($G239="","",INDEX('Passages List'!B$3:B$65,MATCH($G239,'Passages List'!$E$3:$E$65,1)))</f>
        <v>Chennai (ex Madras) (INMAA)</v>
      </c>
      <c r="B239" t="str">
        <f>IF($G239="","",INDEX('Passages List'!C$3:C$65,MATCH($G239,'Passages List'!$E$3:$E$65,1)))</f>
        <v>Hazira Port (Surat) Hbr (INHZA)</v>
      </c>
      <c r="C239" s="1">
        <f>IF($G239="","",INDEX('Passages List'!E$3:E$65,MATCH($G239,'Passages List'!$E$3:$E$65,1)))</f>
        <v>46203.172222222223</v>
      </c>
      <c r="D239" s="1">
        <f>IF($G239="","",INDEX('Passages List'!F$3:F$65,MATCH($G239,'Passages List'!$E$3:$E$65,1)))</f>
        <v>46210.945833333331</v>
      </c>
      <c r="E239" t="str">
        <f>IF($G239="","",INDEX('Passages List'!G$3:G$65,MATCH($G239,'Passages List'!$E$3:$E$65,1)))</f>
        <v>Ballast</v>
      </c>
      <c r="F239" t="s">
        <v>99</v>
      </c>
      <c r="G239" s="1">
        <v>46208.729166666664</v>
      </c>
      <c r="H239" t="s">
        <v>512</v>
      </c>
      <c r="I239" t="s">
        <v>513</v>
      </c>
      <c r="J239" t="s">
        <v>85</v>
      </c>
      <c r="K239" t="s">
        <v>641</v>
      </c>
      <c r="L239" t="s">
        <v>102</v>
      </c>
      <c r="M239">
        <v>217</v>
      </c>
      <c r="N239" t="s">
        <v>17</v>
      </c>
      <c r="O239">
        <v>15.5</v>
      </c>
      <c r="P239" t="s">
        <v>17</v>
      </c>
    </row>
    <row r="240" spans="1:16" x14ac:dyDescent="0.2">
      <c r="A240" t="str">
        <f>IF($G240="","",INDEX('Passages List'!B$3:B$65,MATCH($G240,'Passages List'!$E$3:$E$65,1)))</f>
        <v>Chennai (ex Madras) (INMAA)</v>
      </c>
      <c r="B240" t="str">
        <f>IF($G240="","",INDEX('Passages List'!C$3:C$65,MATCH($G240,'Passages List'!$E$3:$E$65,1)))</f>
        <v>Hazira Port (Surat) Hbr (INHZA)</v>
      </c>
      <c r="C240" s="1">
        <f>IF($G240="","",INDEX('Passages List'!E$3:E$65,MATCH($G240,'Passages List'!$E$3:$E$65,1)))</f>
        <v>46203.172222222223</v>
      </c>
      <c r="D240" s="1">
        <f>IF($G240="","",INDEX('Passages List'!F$3:F$65,MATCH($G240,'Passages List'!$E$3:$E$65,1)))</f>
        <v>46210.945833333331</v>
      </c>
      <c r="E240" t="str">
        <f>IF($G240="","",INDEX('Passages List'!G$3:G$65,MATCH($G240,'Passages List'!$E$3:$E$65,1)))</f>
        <v>Ballast</v>
      </c>
      <c r="F240" t="s">
        <v>99</v>
      </c>
      <c r="G240" s="1">
        <v>46209.729166666664</v>
      </c>
      <c r="H240" t="s">
        <v>514</v>
      </c>
      <c r="I240" t="s">
        <v>515</v>
      </c>
      <c r="J240" t="s">
        <v>85</v>
      </c>
      <c r="K240" t="s">
        <v>641</v>
      </c>
      <c r="L240" t="s">
        <v>102</v>
      </c>
      <c r="M240">
        <v>206</v>
      </c>
      <c r="N240" t="s">
        <v>17</v>
      </c>
      <c r="O240">
        <v>15.4</v>
      </c>
      <c r="P240" t="s">
        <v>17</v>
      </c>
    </row>
    <row r="241" spans="1:16" x14ac:dyDescent="0.2">
      <c r="A241" t="str">
        <f>IF($G241="","",INDEX('Passages List'!B$3:B$65,MATCH($G241,'Passages List'!$E$3:$E$65,1)))</f>
        <v>Chennai (ex Madras) (INMAA)</v>
      </c>
      <c r="B241" t="str">
        <f>IF($G241="","",INDEX('Passages List'!C$3:C$65,MATCH($G241,'Passages List'!$E$3:$E$65,1)))</f>
        <v>Hazira Port (Surat) Hbr (INHZA)</v>
      </c>
      <c r="C241" s="1">
        <f>IF($G241="","",INDEX('Passages List'!E$3:E$65,MATCH($G241,'Passages List'!$E$3:$E$65,1)))</f>
        <v>46203.172222222223</v>
      </c>
      <c r="D241" s="1">
        <f>IF($G241="","",INDEX('Passages List'!F$3:F$65,MATCH($G241,'Passages List'!$E$3:$E$65,1)))</f>
        <v>46210.945833333331</v>
      </c>
      <c r="E241" t="str">
        <f>IF($G241="","",INDEX('Passages List'!G$3:G$65,MATCH($G241,'Passages List'!$E$3:$E$65,1)))</f>
        <v>Ballast</v>
      </c>
      <c r="F241" t="s">
        <v>99</v>
      </c>
      <c r="G241" s="1">
        <v>46210.041666666664</v>
      </c>
      <c r="H241" t="s">
        <v>516</v>
      </c>
      <c r="I241" t="s">
        <v>517</v>
      </c>
      <c r="J241" t="s">
        <v>85</v>
      </c>
      <c r="K241" t="s">
        <v>641</v>
      </c>
      <c r="L241" t="s">
        <v>348</v>
      </c>
      <c r="M241">
        <v>83</v>
      </c>
      <c r="N241" t="s">
        <v>17</v>
      </c>
      <c r="O241">
        <v>4.0999999999999996</v>
      </c>
      <c r="P241" t="s">
        <v>17</v>
      </c>
    </row>
    <row r="242" spans="1:16" x14ac:dyDescent="0.2">
      <c r="A242" t="str">
        <f>IF($G242="","",INDEX('Passages List'!B$3:B$65,MATCH($G242,'Passages List'!$E$3:$E$65,1)))</f>
        <v>Chennai (ex Madras) (INMAA)</v>
      </c>
      <c r="B242" t="str">
        <f>IF($G242="","",INDEX('Passages List'!C$3:C$65,MATCH($G242,'Passages List'!$E$3:$E$65,1)))</f>
        <v>Hazira Port (Surat) Hbr (INHZA)</v>
      </c>
      <c r="C242" s="1">
        <f>IF($G242="","",INDEX('Passages List'!E$3:E$65,MATCH($G242,'Passages List'!$E$3:$E$65,1)))</f>
        <v>46203.172222222223</v>
      </c>
      <c r="D242" s="1">
        <f>IF($G242="","",INDEX('Passages List'!F$3:F$65,MATCH($G242,'Passages List'!$E$3:$E$65,1)))</f>
        <v>46210.945833333331</v>
      </c>
      <c r="E242" t="str">
        <f>IF($G242="","",INDEX('Passages List'!G$3:G$65,MATCH($G242,'Passages List'!$E$3:$E$65,1)))</f>
        <v>Ballast</v>
      </c>
      <c r="F242" t="s">
        <v>99</v>
      </c>
      <c r="G242" s="1">
        <v>46210.729166666664</v>
      </c>
      <c r="H242" t="s">
        <v>518</v>
      </c>
      <c r="I242" t="s">
        <v>519</v>
      </c>
      <c r="J242" t="s">
        <v>85</v>
      </c>
      <c r="K242" t="s">
        <v>641</v>
      </c>
      <c r="L242" t="s">
        <v>520</v>
      </c>
      <c r="M242">
        <v>9.5</v>
      </c>
      <c r="N242" t="s">
        <v>17</v>
      </c>
      <c r="O242">
        <v>4</v>
      </c>
      <c r="P242">
        <v>0.3</v>
      </c>
    </row>
    <row r="243" spans="1:16" x14ac:dyDescent="0.2">
      <c r="A243" t="str">
        <f>IF($G243="","",INDEX('Passages List'!B$3:B$65,MATCH($G243,'Passages List'!$E$3:$E$65,1)))</f>
        <v/>
      </c>
      <c r="B243" t="str">
        <f>IF($G243="","",INDEX('Passages List'!C$3:C$65,MATCH($G243,'Passages List'!$E$3:$E$65,1)))</f>
        <v>Hazira Port (Surat) Hbr (INHZA)</v>
      </c>
      <c r="C243" s="1">
        <f>IF($G243="","",INDEX('Passages List'!E$3:E$65,MATCH($G243,'Passages List'!$E$3:$E$65,1)))</f>
        <v>46210.945833333331</v>
      </c>
      <c r="D243" s="1">
        <f>IF($G243="","",INDEX('Passages List'!F$3:F$65,MATCH($G243,'Passages List'!$E$3:$E$65,1)))</f>
        <v>46215.702777777777</v>
      </c>
      <c r="E243" t="str">
        <f>IF($G243="","",INDEX('Passages List'!G$3:G$65,MATCH($G243,'Passages List'!$E$3:$E$65,1)))</f>
        <v>Cargo operations</v>
      </c>
      <c r="F243" t="s">
        <v>104</v>
      </c>
      <c r="G243" s="1">
        <v>46210.945833333331</v>
      </c>
      <c r="H243" t="s">
        <v>521</v>
      </c>
      <c r="I243" t="s">
        <v>228</v>
      </c>
      <c r="J243" t="s">
        <v>85</v>
      </c>
      <c r="K243" t="s">
        <v>624</v>
      </c>
      <c r="L243" t="s">
        <v>522</v>
      </c>
      <c r="M243">
        <v>22.5</v>
      </c>
      <c r="N243" t="s">
        <v>17</v>
      </c>
      <c r="O243">
        <v>1.4</v>
      </c>
      <c r="P243">
        <v>0.1</v>
      </c>
    </row>
    <row r="244" spans="1:16" x14ac:dyDescent="0.2">
      <c r="A244" t="str">
        <f>IF($G244="","",INDEX('Passages List'!B$3:B$65,MATCH($G244,'Passages List'!$E$3:$E$65,1)))</f>
        <v/>
      </c>
      <c r="B244" t="str">
        <f>IF($G244="","",INDEX('Passages List'!C$3:C$65,MATCH($G244,'Passages List'!$E$3:$E$65,1)))</f>
        <v>Hazira Port (Surat) Hbr (INHZA)</v>
      </c>
      <c r="C244" s="1">
        <f>IF($G244="","",INDEX('Passages List'!E$3:E$65,MATCH($G244,'Passages List'!$E$3:$E$65,1)))</f>
        <v>46210.945833333331</v>
      </c>
      <c r="D244" s="1">
        <f>IF($G244="","",INDEX('Passages List'!F$3:F$65,MATCH($G244,'Passages List'!$E$3:$E$65,1)))</f>
        <v>46215.702777777777</v>
      </c>
      <c r="E244" t="str">
        <f>IF($G244="","",INDEX('Passages List'!G$3:G$65,MATCH($G244,'Passages List'!$E$3:$E$65,1)))</f>
        <v>Cargo operations</v>
      </c>
      <c r="F244" t="s">
        <v>105</v>
      </c>
      <c r="G244" s="1">
        <v>46211.729166666664</v>
      </c>
      <c r="H244" t="s">
        <v>521</v>
      </c>
      <c r="I244" t="s">
        <v>228</v>
      </c>
      <c r="J244" t="s">
        <v>85</v>
      </c>
      <c r="L244" t="s">
        <v>523</v>
      </c>
      <c r="M244" t="s">
        <v>17</v>
      </c>
      <c r="N244" t="s">
        <v>17</v>
      </c>
      <c r="O244">
        <v>1.6</v>
      </c>
      <c r="P244">
        <v>0.5</v>
      </c>
    </row>
    <row r="245" spans="1:16" x14ac:dyDescent="0.2">
      <c r="A245" t="str">
        <f>IF($G245="","",INDEX('Passages List'!B$3:B$65,MATCH($G245,'Passages List'!$E$3:$E$65,1)))</f>
        <v/>
      </c>
      <c r="B245" t="str">
        <f>IF($G245="","",INDEX('Passages List'!C$3:C$65,MATCH($G245,'Passages List'!$E$3:$E$65,1)))</f>
        <v>Hazira Port (Surat) Hbr (INHZA)</v>
      </c>
      <c r="C245" s="1">
        <f>IF($G245="","",INDEX('Passages List'!E$3:E$65,MATCH($G245,'Passages List'!$E$3:$E$65,1)))</f>
        <v>46210.945833333331</v>
      </c>
      <c r="D245" s="1">
        <f>IF($G245="","",INDEX('Passages List'!F$3:F$65,MATCH($G245,'Passages List'!$E$3:$E$65,1)))</f>
        <v>46215.702777777777</v>
      </c>
      <c r="E245" t="str">
        <f>IF($G245="","",INDEX('Passages List'!G$3:G$65,MATCH($G245,'Passages List'!$E$3:$E$65,1)))</f>
        <v>Cargo operations</v>
      </c>
      <c r="F245" t="s">
        <v>105</v>
      </c>
      <c r="G245" s="1">
        <v>46212.729166666664</v>
      </c>
      <c r="H245" t="s">
        <v>521</v>
      </c>
      <c r="I245" t="s">
        <v>228</v>
      </c>
      <c r="J245" t="s">
        <v>85</v>
      </c>
      <c r="L245" t="s">
        <v>102</v>
      </c>
      <c r="M245" t="s">
        <v>17</v>
      </c>
      <c r="N245" t="s">
        <v>17</v>
      </c>
      <c r="O245">
        <v>2.1</v>
      </c>
      <c r="P245">
        <v>0.9</v>
      </c>
    </row>
    <row r="246" spans="1:16" x14ac:dyDescent="0.2">
      <c r="A246" t="str">
        <f>IF($G246="","",INDEX('Passages List'!B$3:B$65,MATCH($G246,'Passages List'!$E$3:$E$65,1)))</f>
        <v/>
      </c>
      <c r="B246" t="str">
        <f>IF($G246="","",INDEX('Passages List'!C$3:C$65,MATCH($G246,'Passages List'!$E$3:$E$65,1)))</f>
        <v>Hazira Port (Surat) Hbr (INHZA)</v>
      </c>
      <c r="C246" s="1">
        <f>IF($G246="","",INDEX('Passages List'!E$3:E$65,MATCH($G246,'Passages List'!$E$3:$E$65,1)))</f>
        <v>46210.945833333331</v>
      </c>
      <c r="D246" s="1">
        <f>IF($G246="","",INDEX('Passages List'!F$3:F$65,MATCH($G246,'Passages List'!$E$3:$E$65,1)))</f>
        <v>46215.702777777777</v>
      </c>
      <c r="E246" t="str">
        <f>IF($G246="","",INDEX('Passages List'!G$3:G$65,MATCH($G246,'Passages List'!$E$3:$E$65,1)))</f>
        <v>Cargo operations</v>
      </c>
      <c r="F246" t="s">
        <v>105</v>
      </c>
      <c r="G246" s="1">
        <v>46213.729166666664</v>
      </c>
      <c r="H246" t="s">
        <v>521</v>
      </c>
      <c r="I246" t="s">
        <v>228</v>
      </c>
      <c r="J246" t="s">
        <v>85</v>
      </c>
      <c r="L246" t="s">
        <v>102</v>
      </c>
      <c r="M246" t="s">
        <v>17</v>
      </c>
      <c r="N246" t="s">
        <v>17</v>
      </c>
      <c r="O246">
        <v>2.2999999999999998</v>
      </c>
      <c r="P246">
        <v>0.9</v>
      </c>
    </row>
    <row r="247" spans="1:16" x14ac:dyDescent="0.2">
      <c r="A247" t="str">
        <f>IF($G247="","",INDEX('Passages List'!B$3:B$65,MATCH($G247,'Passages List'!$E$3:$E$65,1)))</f>
        <v/>
      </c>
      <c r="B247" t="str">
        <f>IF($G247="","",INDEX('Passages List'!C$3:C$65,MATCH($G247,'Passages List'!$E$3:$E$65,1)))</f>
        <v>Hazira Port (Surat) Hbr (INHZA)</v>
      </c>
      <c r="C247" s="1">
        <f>IF($G247="","",INDEX('Passages List'!E$3:E$65,MATCH($G247,'Passages List'!$E$3:$E$65,1)))</f>
        <v>46210.945833333331</v>
      </c>
      <c r="D247" s="1">
        <f>IF($G247="","",INDEX('Passages List'!F$3:F$65,MATCH($G247,'Passages List'!$E$3:$E$65,1)))</f>
        <v>46215.702777777777</v>
      </c>
      <c r="E247" t="str">
        <f>IF($G247="","",INDEX('Passages List'!G$3:G$65,MATCH($G247,'Passages List'!$E$3:$E$65,1)))</f>
        <v>Cargo operations</v>
      </c>
      <c r="F247" t="s">
        <v>105</v>
      </c>
      <c r="G247" s="1">
        <v>46214.729166666664</v>
      </c>
      <c r="H247" t="s">
        <v>521</v>
      </c>
      <c r="I247" t="s">
        <v>228</v>
      </c>
      <c r="J247" t="s">
        <v>85</v>
      </c>
      <c r="L247" t="s">
        <v>102</v>
      </c>
      <c r="M247" t="s">
        <v>17</v>
      </c>
      <c r="N247" t="s">
        <v>17</v>
      </c>
      <c r="O247">
        <v>2.2000000000000002</v>
      </c>
      <c r="P247">
        <v>0.9</v>
      </c>
    </row>
    <row r="248" spans="1:16" x14ac:dyDescent="0.2">
      <c r="A248" t="str">
        <f>IF($G248="","",INDEX('Passages List'!B$3:B$65,MATCH($G248,'Passages List'!$E$3:$E$65,1)))</f>
        <v>Hazira Port (Surat) Hbr (INHZA)</v>
      </c>
      <c r="B248" t="str">
        <f>IF($G248="","",INDEX('Passages List'!C$3:C$65,MATCH($G248,'Passages List'!$E$3:$E$65,1)))</f>
        <v>New Mangalore (INNML)</v>
      </c>
      <c r="C248" s="1">
        <f>IF($G248="","",INDEX('Passages List'!E$3:E$65,MATCH($G248,'Passages List'!$E$3:$E$65,1)))</f>
        <v>46215.702777777777</v>
      </c>
      <c r="D248" s="1">
        <f>IF($G248="","",INDEX('Passages List'!F$3:F$65,MATCH($G248,'Passages List'!$E$3:$E$65,1)))</f>
        <v>46218.26666666667</v>
      </c>
      <c r="E248" t="str">
        <f>IF($G248="","",INDEX('Passages List'!G$3:G$65,MATCH($G248,'Passages List'!$E$3:$E$65,1)))</f>
        <v>Cargo</v>
      </c>
      <c r="F248" t="s">
        <v>106</v>
      </c>
      <c r="G248" s="1">
        <v>46215.702777777777</v>
      </c>
      <c r="H248" t="s">
        <v>521</v>
      </c>
      <c r="I248" t="s">
        <v>228</v>
      </c>
      <c r="J248" t="s">
        <v>637</v>
      </c>
      <c r="L248" t="s">
        <v>524</v>
      </c>
      <c r="M248" t="s">
        <v>17</v>
      </c>
      <c r="N248">
        <v>18006.099999999999</v>
      </c>
      <c r="O248">
        <v>2</v>
      </c>
      <c r="P248">
        <v>0.8</v>
      </c>
    </row>
    <row r="249" spans="1:16" x14ac:dyDescent="0.2">
      <c r="A249" t="str">
        <f>IF($G249="","",INDEX('Passages List'!B$3:B$65,MATCH($G249,'Passages List'!$E$3:$E$65,1)))</f>
        <v>Hazira Port (Surat) Hbr (INHZA)</v>
      </c>
      <c r="B249" t="str">
        <f>IF($G249="","",INDEX('Passages List'!C$3:C$65,MATCH($G249,'Passages List'!$E$3:$E$65,1)))</f>
        <v>New Mangalore (INNML)</v>
      </c>
      <c r="C249" s="1">
        <f>IF($G249="","",INDEX('Passages List'!E$3:E$65,MATCH($G249,'Passages List'!$E$3:$E$65,1)))</f>
        <v>46215.702777777777</v>
      </c>
      <c r="D249" s="1">
        <f>IF($G249="","",INDEX('Passages List'!F$3:F$65,MATCH($G249,'Passages List'!$E$3:$E$65,1)))</f>
        <v>46218.26666666667</v>
      </c>
      <c r="E249" t="str">
        <f>IF($G249="","",INDEX('Passages List'!G$3:G$65,MATCH($G249,'Passages List'!$E$3:$E$65,1)))</f>
        <v>Cargo</v>
      </c>
      <c r="F249" t="s">
        <v>99</v>
      </c>
      <c r="G249" s="1">
        <v>46215.729166666664</v>
      </c>
      <c r="H249" t="s">
        <v>525</v>
      </c>
      <c r="I249" t="s">
        <v>526</v>
      </c>
      <c r="J249" t="s">
        <v>637</v>
      </c>
      <c r="K249" t="s">
        <v>623</v>
      </c>
      <c r="L249" t="s">
        <v>527</v>
      </c>
      <c r="M249">
        <v>3.5</v>
      </c>
      <c r="N249" t="s">
        <v>17</v>
      </c>
      <c r="O249">
        <v>0.7</v>
      </c>
      <c r="P249" t="s">
        <v>17</v>
      </c>
    </row>
    <row r="250" spans="1:16" x14ac:dyDescent="0.2">
      <c r="A250" t="str">
        <f>IF($G250="","",INDEX('Passages List'!B$3:B$65,MATCH($G250,'Passages List'!$E$3:$E$65,1)))</f>
        <v>Hazira Port (Surat) Hbr (INHZA)</v>
      </c>
      <c r="B250" t="str">
        <f>IF($G250="","",INDEX('Passages List'!C$3:C$65,MATCH($G250,'Passages List'!$E$3:$E$65,1)))</f>
        <v>New Mangalore (INNML)</v>
      </c>
      <c r="C250" s="1">
        <f>IF($G250="","",INDEX('Passages List'!E$3:E$65,MATCH($G250,'Passages List'!$E$3:$E$65,1)))</f>
        <v>46215.702777777777</v>
      </c>
      <c r="D250" s="1">
        <f>IF($G250="","",INDEX('Passages List'!F$3:F$65,MATCH($G250,'Passages List'!$E$3:$E$65,1)))</f>
        <v>46218.26666666667</v>
      </c>
      <c r="E250" t="str">
        <f>IF($G250="","",INDEX('Passages List'!G$3:G$65,MATCH($G250,'Passages List'!$E$3:$E$65,1)))</f>
        <v>Cargo</v>
      </c>
      <c r="F250" t="s">
        <v>99</v>
      </c>
      <c r="G250" s="1">
        <v>46215.770833333336</v>
      </c>
      <c r="H250" t="s">
        <v>528</v>
      </c>
      <c r="I250" t="s">
        <v>231</v>
      </c>
      <c r="J250" t="s">
        <v>637</v>
      </c>
      <c r="K250" t="s">
        <v>641</v>
      </c>
      <c r="L250" t="s">
        <v>111</v>
      </c>
      <c r="M250">
        <v>6.5</v>
      </c>
      <c r="N250" t="s">
        <v>17</v>
      </c>
      <c r="O250">
        <v>0.6</v>
      </c>
      <c r="P250" t="s">
        <v>17</v>
      </c>
    </row>
    <row r="251" spans="1:16" x14ac:dyDescent="0.2">
      <c r="A251" t="str">
        <f>IF($G251="","",INDEX('Passages List'!B$3:B$65,MATCH($G251,'Passages List'!$E$3:$E$65,1)))</f>
        <v>Hazira Port (Surat) Hbr (INHZA)</v>
      </c>
      <c r="B251" t="str">
        <f>IF($G251="","",INDEX('Passages List'!C$3:C$65,MATCH($G251,'Passages List'!$E$3:$E$65,1)))</f>
        <v>New Mangalore (INNML)</v>
      </c>
      <c r="C251" s="1">
        <f>IF($G251="","",INDEX('Passages List'!E$3:E$65,MATCH($G251,'Passages List'!$E$3:$E$65,1)))</f>
        <v>46215.702777777777</v>
      </c>
      <c r="D251" s="1">
        <f>IF($G251="","",INDEX('Passages List'!F$3:F$65,MATCH($G251,'Passages List'!$E$3:$E$65,1)))</f>
        <v>46218.26666666667</v>
      </c>
      <c r="E251" t="str">
        <f>IF($G251="","",INDEX('Passages List'!G$3:G$65,MATCH($G251,'Passages List'!$E$3:$E$65,1)))</f>
        <v>Cargo</v>
      </c>
      <c r="F251" t="s">
        <v>99</v>
      </c>
      <c r="G251" s="1">
        <v>46216.729166666664</v>
      </c>
      <c r="H251" t="s">
        <v>529</v>
      </c>
      <c r="I251" t="s">
        <v>530</v>
      </c>
      <c r="J251" t="s">
        <v>637</v>
      </c>
      <c r="K251" t="s">
        <v>641</v>
      </c>
      <c r="L251" t="s">
        <v>317</v>
      </c>
      <c r="M251">
        <v>208.5</v>
      </c>
      <c r="N251" t="s">
        <v>17</v>
      </c>
      <c r="O251">
        <v>15</v>
      </c>
      <c r="P251" t="s">
        <v>17</v>
      </c>
    </row>
    <row r="252" spans="1:16" x14ac:dyDescent="0.2">
      <c r="A252" t="str">
        <f>IF($G252="","",INDEX('Passages List'!B$3:B$65,MATCH($G252,'Passages List'!$E$3:$E$65,1)))</f>
        <v>Hazira Port (Surat) Hbr (INHZA)</v>
      </c>
      <c r="B252" t="str">
        <f>IF($G252="","",INDEX('Passages List'!C$3:C$65,MATCH($G252,'Passages List'!$E$3:$E$65,1)))</f>
        <v>New Mangalore (INNML)</v>
      </c>
      <c r="C252" s="1">
        <f>IF($G252="","",INDEX('Passages List'!E$3:E$65,MATCH($G252,'Passages List'!$E$3:$E$65,1)))</f>
        <v>46215.702777777777</v>
      </c>
      <c r="D252" s="1">
        <f>IF($G252="","",INDEX('Passages List'!F$3:F$65,MATCH($G252,'Passages List'!$E$3:$E$65,1)))</f>
        <v>46218.26666666667</v>
      </c>
      <c r="E252" t="str">
        <f>IF($G252="","",INDEX('Passages List'!G$3:G$65,MATCH($G252,'Passages List'!$E$3:$E$65,1)))</f>
        <v>Cargo</v>
      </c>
      <c r="F252" t="s">
        <v>99</v>
      </c>
      <c r="G252" s="1">
        <v>46217.729166666664</v>
      </c>
      <c r="H252" t="s">
        <v>531</v>
      </c>
      <c r="I252" t="s">
        <v>532</v>
      </c>
      <c r="J252" t="s">
        <v>637</v>
      </c>
      <c r="K252" t="s">
        <v>641</v>
      </c>
      <c r="L252" t="s">
        <v>102</v>
      </c>
      <c r="M252">
        <v>212</v>
      </c>
      <c r="N252" t="s">
        <v>17</v>
      </c>
      <c r="O252">
        <v>15</v>
      </c>
      <c r="P252" t="s">
        <v>17</v>
      </c>
    </row>
    <row r="253" spans="1:16" x14ac:dyDescent="0.2">
      <c r="A253" t="str">
        <f>IF($G253="","",INDEX('Passages List'!B$3:B$65,MATCH($G253,'Passages List'!$E$3:$E$65,1)))</f>
        <v>Hazira Port (Surat) Hbr (INHZA)</v>
      </c>
      <c r="B253" t="str">
        <f>IF($G253="","",INDEX('Passages List'!C$3:C$65,MATCH($G253,'Passages List'!$E$3:$E$65,1)))</f>
        <v>New Mangalore (INNML)</v>
      </c>
      <c r="C253" s="1">
        <f>IF($G253="","",INDEX('Passages List'!E$3:E$65,MATCH($G253,'Passages List'!$E$3:$E$65,1)))</f>
        <v>46215.702777777777</v>
      </c>
      <c r="D253" s="1">
        <f>IF($G253="","",INDEX('Passages List'!F$3:F$65,MATCH($G253,'Passages List'!$E$3:$E$65,1)))</f>
        <v>46218.26666666667</v>
      </c>
      <c r="E253" t="str">
        <f>IF($G253="","",INDEX('Passages List'!G$3:G$65,MATCH($G253,'Passages List'!$E$3:$E$65,1)))</f>
        <v>Cargo</v>
      </c>
      <c r="F253" t="s">
        <v>99</v>
      </c>
      <c r="G253" s="1">
        <v>46218.091666666667</v>
      </c>
      <c r="H253" t="s">
        <v>533</v>
      </c>
      <c r="I253" t="s">
        <v>534</v>
      </c>
      <c r="J253" t="s">
        <v>637</v>
      </c>
      <c r="K253" t="s">
        <v>641</v>
      </c>
      <c r="L253" t="s">
        <v>535</v>
      </c>
      <c r="M253">
        <v>95</v>
      </c>
      <c r="N253" t="s">
        <v>17</v>
      </c>
      <c r="O253">
        <v>5.2</v>
      </c>
      <c r="P253" t="s">
        <v>17</v>
      </c>
    </row>
    <row r="254" spans="1:16" x14ac:dyDescent="0.2">
      <c r="A254" t="str">
        <f>IF($G254="","",INDEX('Passages List'!B$3:B$65,MATCH($G254,'Passages List'!$E$3:$E$65,1)))</f>
        <v/>
      </c>
      <c r="B254" t="str">
        <f>IF($G254="","",INDEX('Passages List'!C$3:C$65,MATCH($G254,'Passages List'!$E$3:$E$65,1)))</f>
        <v>New Mangalore (INNML)</v>
      </c>
      <c r="C254" s="1">
        <f>IF($G254="","",INDEX('Passages List'!E$3:E$65,MATCH($G254,'Passages List'!$E$3:$E$65,1)))</f>
        <v>46218.26666666667</v>
      </c>
      <c r="D254" s="1">
        <f>IF($G254="","",INDEX('Passages List'!F$3:F$65,MATCH($G254,'Passages List'!$E$3:$E$65,1)))</f>
        <v>46219.066666666666</v>
      </c>
      <c r="E254" t="str">
        <f>IF($G254="","",INDEX('Passages List'!G$3:G$65,MATCH($G254,'Passages List'!$E$3:$E$65,1)))</f>
        <v>Cargo operations</v>
      </c>
      <c r="F254" t="s">
        <v>104</v>
      </c>
      <c r="G254" s="1">
        <v>46218.26666666667</v>
      </c>
      <c r="H254" t="s">
        <v>307</v>
      </c>
      <c r="I254" t="s">
        <v>536</v>
      </c>
      <c r="J254" t="s">
        <v>637</v>
      </c>
      <c r="K254" t="s">
        <v>624</v>
      </c>
      <c r="L254" t="s">
        <v>240</v>
      </c>
      <c r="M254">
        <v>24</v>
      </c>
      <c r="N254">
        <v>18006.099999999999</v>
      </c>
      <c r="O254">
        <v>1.4</v>
      </c>
      <c r="P254" t="s">
        <v>17</v>
      </c>
    </row>
    <row r="255" spans="1:16" x14ac:dyDescent="0.2">
      <c r="A255" t="str">
        <f>IF($G255="","",INDEX('Passages List'!B$3:B$65,MATCH($G255,'Passages List'!$E$3:$E$65,1)))</f>
        <v/>
      </c>
      <c r="B255" t="str">
        <f>IF($G255="","",INDEX('Passages List'!C$3:C$65,MATCH($G255,'Passages List'!$E$3:$E$65,1)))</f>
        <v>New Mangalore (INNML)</v>
      </c>
      <c r="C255" s="1">
        <f>IF($G255="","",INDEX('Passages List'!E$3:E$65,MATCH($G255,'Passages List'!$E$3:$E$65,1)))</f>
        <v>46218.26666666667</v>
      </c>
      <c r="D255" s="1">
        <f>IF($G255="","",INDEX('Passages List'!F$3:F$65,MATCH($G255,'Passages List'!$E$3:$E$65,1)))</f>
        <v>46219.066666666666</v>
      </c>
      <c r="E255" t="str">
        <f>IF($G255="","",INDEX('Passages List'!G$3:G$65,MATCH($G255,'Passages List'!$E$3:$E$65,1)))</f>
        <v>Cargo operations</v>
      </c>
      <c r="F255" t="s">
        <v>105</v>
      </c>
      <c r="G255" s="1">
        <v>46218.729166666664</v>
      </c>
      <c r="H255" t="s">
        <v>307</v>
      </c>
      <c r="I255" t="s">
        <v>536</v>
      </c>
      <c r="J255" t="s">
        <v>637</v>
      </c>
      <c r="L255" t="s">
        <v>537</v>
      </c>
      <c r="M255" t="s">
        <v>17</v>
      </c>
      <c r="N255" t="s">
        <v>17</v>
      </c>
      <c r="O255">
        <v>1.5</v>
      </c>
      <c r="P255">
        <v>0.5</v>
      </c>
    </row>
    <row r="256" spans="1:16" x14ac:dyDescent="0.2">
      <c r="A256" t="str">
        <f>IF($G256="","",INDEX('Passages List'!B$3:B$65,MATCH($G256,'Passages List'!$E$3:$E$65,1)))</f>
        <v>New Mangalore (INNML)</v>
      </c>
      <c r="B256" t="str">
        <f>IF($G256="","",INDEX('Passages List'!C$3:C$65,MATCH($G256,'Passages List'!$E$3:$E$65,1)))</f>
        <v>Chennai (ex Madras) (INMAA)</v>
      </c>
      <c r="C256" s="1">
        <f>IF($G256="","",INDEX('Passages List'!E$3:E$65,MATCH($G256,'Passages List'!$E$3:$E$65,1)))</f>
        <v>46219.066666666666</v>
      </c>
      <c r="D256" s="1">
        <f>IF($G256="","",INDEX('Passages List'!F$3:F$65,MATCH($G256,'Passages List'!$E$3:$E$65,1)))</f>
        <v>46223.466666666667</v>
      </c>
      <c r="E256" t="str">
        <f>IF($G256="","",INDEX('Passages List'!G$3:G$65,MATCH($G256,'Passages List'!$E$3:$E$65,1)))</f>
        <v>Cargo</v>
      </c>
      <c r="F256" t="s">
        <v>106</v>
      </c>
      <c r="G256" s="1">
        <v>46219.066666666666</v>
      </c>
      <c r="H256" t="s">
        <v>307</v>
      </c>
      <c r="I256" t="s">
        <v>536</v>
      </c>
      <c r="J256" t="s">
        <v>638</v>
      </c>
      <c r="L256" t="s">
        <v>538</v>
      </c>
      <c r="M256" t="s">
        <v>17</v>
      </c>
      <c r="N256">
        <v>14410.2</v>
      </c>
      <c r="O256">
        <v>0.8</v>
      </c>
      <c r="P256">
        <v>0.5</v>
      </c>
    </row>
    <row r="257" spans="1:16" x14ac:dyDescent="0.2">
      <c r="A257" t="str">
        <f>IF($G257="","",INDEX('Passages List'!B$3:B$65,MATCH($G257,'Passages List'!$E$3:$E$65,1)))</f>
        <v>New Mangalore (INNML)</v>
      </c>
      <c r="B257" t="str">
        <f>IF($G257="","",INDEX('Passages List'!C$3:C$65,MATCH($G257,'Passages List'!$E$3:$E$65,1)))</f>
        <v>Chennai (ex Madras) (INMAA)</v>
      </c>
      <c r="C257" s="1">
        <f>IF($G257="","",INDEX('Passages List'!E$3:E$65,MATCH($G257,'Passages List'!$E$3:$E$65,1)))</f>
        <v>46219.066666666666</v>
      </c>
      <c r="D257" s="1">
        <f>IF($G257="","",INDEX('Passages List'!F$3:F$65,MATCH($G257,'Passages List'!$E$3:$E$65,1)))</f>
        <v>46223.466666666667</v>
      </c>
      <c r="E257" t="str">
        <f>IF($G257="","",INDEX('Passages List'!G$3:G$65,MATCH($G257,'Passages List'!$E$3:$E$65,1)))</f>
        <v>Cargo</v>
      </c>
      <c r="F257" t="s">
        <v>99</v>
      </c>
      <c r="G257" s="1">
        <v>46219.104166666664</v>
      </c>
      <c r="H257" t="s">
        <v>539</v>
      </c>
      <c r="I257" t="s">
        <v>540</v>
      </c>
      <c r="J257" t="s">
        <v>638</v>
      </c>
      <c r="K257" t="s">
        <v>623</v>
      </c>
      <c r="L257" t="s">
        <v>314</v>
      </c>
      <c r="M257">
        <v>8.1</v>
      </c>
      <c r="N257" t="s">
        <v>17</v>
      </c>
      <c r="O257">
        <v>0.6</v>
      </c>
      <c r="P257" t="s">
        <v>17</v>
      </c>
    </row>
    <row r="258" spans="1:16" x14ac:dyDescent="0.2">
      <c r="A258" t="str">
        <f>IF($G258="","",INDEX('Passages List'!B$3:B$65,MATCH($G258,'Passages List'!$E$3:$E$65,1)))</f>
        <v>New Mangalore (INNML)</v>
      </c>
      <c r="B258" t="str">
        <f>IF($G258="","",INDEX('Passages List'!C$3:C$65,MATCH($G258,'Passages List'!$E$3:$E$65,1)))</f>
        <v>Chennai (ex Madras) (INMAA)</v>
      </c>
      <c r="C258" s="1">
        <f>IF($G258="","",INDEX('Passages List'!E$3:E$65,MATCH($G258,'Passages List'!$E$3:$E$65,1)))</f>
        <v>46219.066666666666</v>
      </c>
      <c r="D258" s="1">
        <f>IF($G258="","",INDEX('Passages List'!F$3:F$65,MATCH($G258,'Passages List'!$E$3:$E$65,1)))</f>
        <v>46223.466666666667</v>
      </c>
      <c r="E258" t="str">
        <f>IF($G258="","",INDEX('Passages List'!G$3:G$65,MATCH($G258,'Passages List'!$E$3:$E$65,1)))</f>
        <v>Cargo</v>
      </c>
      <c r="F258" t="s">
        <v>99</v>
      </c>
      <c r="G258" s="1">
        <v>46219.729166666664</v>
      </c>
      <c r="H258" t="s">
        <v>541</v>
      </c>
      <c r="I258" t="s">
        <v>542</v>
      </c>
      <c r="J258" t="s">
        <v>638</v>
      </c>
      <c r="K258" t="s">
        <v>641</v>
      </c>
      <c r="L258" t="s">
        <v>543</v>
      </c>
      <c r="M258">
        <v>176</v>
      </c>
      <c r="N258" t="s">
        <v>17</v>
      </c>
      <c r="O258">
        <v>9.1</v>
      </c>
      <c r="P258" t="s">
        <v>17</v>
      </c>
    </row>
    <row r="259" spans="1:16" x14ac:dyDescent="0.2">
      <c r="A259" t="str">
        <f>IF($G259="","",INDEX('Passages List'!B$3:B$65,MATCH($G259,'Passages List'!$E$3:$E$65,1)))</f>
        <v>New Mangalore (INNML)</v>
      </c>
      <c r="B259" t="str">
        <f>IF($G259="","",INDEX('Passages List'!C$3:C$65,MATCH($G259,'Passages List'!$E$3:$E$65,1)))</f>
        <v>Chennai (ex Madras) (INMAA)</v>
      </c>
      <c r="C259" s="1">
        <f>IF($G259="","",INDEX('Passages List'!E$3:E$65,MATCH($G259,'Passages List'!$E$3:$E$65,1)))</f>
        <v>46219.066666666666</v>
      </c>
      <c r="D259" s="1">
        <f>IF($G259="","",INDEX('Passages List'!F$3:F$65,MATCH($G259,'Passages List'!$E$3:$E$65,1)))</f>
        <v>46223.466666666667</v>
      </c>
      <c r="E259" t="str">
        <f>IF($G259="","",INDEX('Passages List'!G$3:G$65,MATCH($G259,'Passages List'!$E$3:$E$65,1)))</f>
        <v>Cargo</v>
      </c>
      <c r="F259" t="s">
        <v>99</v>
      </c>
      <c r="G259" s="1">
        <v>46220.729166666664</v>
      </c>
      <c r="H259" t="s">
        <v>544</v>
      </c>
      <c r="I259" t="s">
        <v>545</v>
      </c>
      <c r="J259" t="s">
        <v>638</v>
      </c>
      <c r="K259" t="s">
        <v>641</v>
      </c>
      <c r="L259" t="s">
        <v>102</v>
      </c>
      <c r="M259">
        <v>271</v>
      </c>
      <c r="N259" t="s">
        <v>17</v>
      </c>
      <c r="O259">
        <v>14.4</v>
      </c>
      <c r="P259" t="s">
        <v>17</v>
      </c>
    </row>
    <row r="260" spans="1:16" x14ac:dyDescent="0.2">
      <c r="A260" t="str">
        <f>IF($G260="","",INDEX('Passages List'!B$3:B$65,MATCH($G260,'Passages List'!$E$3:$E$65,1)))</f>
        <v>New Mangalore (INNML)</v>
      </c>
      <c r="B260" t="str">
        <f>IF($G260="","",INDEX('Passages List'!C$3:C$65,MATCH($G260,'Passages List'!$E$3:$E$65,1)))</f>
        <v>Chennai (ex Madras) (INMAA)</v>
      </c>
      <c r="C260" s="1">
        <f>IF($G260="","",INDEX('Passages List'!E$3:E$65,MATCH($G260,'Passages List'!$E$3:$E$65,1)))</f>
        <v>46219.066666666666</v>
      </c>
      <c r="D260" s="1">
        <f>IF($G260="","",INDEX('Passages List'!F$3:F$65,MATCH($G260,'Passages List'!$E$3:$E$65,1)))</f>
        <v>46223.466666666667</v>
      </c>
      <c r="E260" t="str">
        <f>IF($G260="","",INDEX('Passages List'!G$3:G$65,MATCH($G260,'Passages List'!$E$3:$E$65,1)))</f>
        <v>Cargo</v>
      </c>
      <c r="F260" t="s">
        <v>99</v>
      </c>
      <c r="G260" s="1">
        <v>46221.729166666664</v>
      </c>
      <c r="H260" t="s">
        <v>546</v>
      </c>
      <c r="I260" t="s">
        <v>547</v>
      </c>
      <c r="J260" t="s">
        <v>638</v>
      </c>
      <c r="K260" t="s">
        <v>641</v>
      </c>
      <c r="L260" t="s">
        <v>102</v>
      </c>
      <c r="M260">
        <v>285</v>
      </c>
      <c r="N260" t="s">
        <v>17</v>
      </c>
      <c r="O260">
        <v>14.3</v>
      </c>
      <c r="P260" t="s">
        <v>17</v>
      </c>
    </row>
    <row r="261" spans="1:16" x14ac:dyDescent="0.2">
      <c r="A261" t="str">
        <f>IF($G261="","",INDEX('Passages List'!B$3:B$65,MATCH($G261,'Passages List'!$E$3:$E$65,1)))</f>
        <v>New Mangalore (INNML)</v>
      </c>
      <c r="B261" t="str">
        <f>IF($G261="","",INDEX('Passages List'!C$3:C$65,MATCH($G261,'Passages List'!$E$3:$E$65,1)))</f>
        <v>Chennai (ex Madras) (INMAA)</v>
      </c>
      <c r="C261" s="1">
        <f>IF($G261="","",INDEX('Passages List'!E$3:E$65,MATCH($G261,'Passages List'!$E$3:$E$65,1)))</f>
        <v>46219.066666666666</v>
      </c>
      <c r="D261" s="1">
        <f>IF($G261="","",INDEX('Passages List'!F$3:F$65,MATCH($G261,'Passages List'!$E$3:$E$65,1)))</f>
        <v>46223.466666666667</v>
      </c>
      <c r="E261" t="str">
        <f>IF($G261="","",INDEX('Passages List'!G$3:G$65,MATCH($G261,'Passages List'!$E$3:$E$65,1)))</f>
        <v>Cargo</v>
      </c>
      <c r="F261" t="s">
        <v>99</v>
      </c>
      <c r="G261" s="1">
        <v>46222.729166666664</v>
      </c>
      <c r="H261" t="s">
        <v>548</v>
      </c>
      <c r="I261" t="s">
        <v>549</v>
      </c>
      <c r="J261" t="s">
        <v>638</v>
      </c>
      <c r="K261" t="s">
        <v>641</v>
      </c>
      <c r="L261" t="s">
        <v>102</v>
      </c>
      <c r="M261">
        <v>250</v>
      </c>
      <c r="N261" t="s">
        <v>17</v>
      </c>
      <c r="O261">
        <v>14.4</v>
      </c>
      <c r="P261" t="s">
        <v>17</v>
      </c>
    </row>
    <row r="262" spans="1:16" x14ac:dyDescent="0.2">
      <c r="A262" t="str">
        <f>IF($G262="","",INDEX('Passages List'!B$3:B$65,MATCH($G262,'Passages List'!$E$3:$E$65,1)))</f>
        <v>New Mangalore (INNML)</v>
      </c>
      <c r="B262" t="str">
        <f>IF($G262="","",INDEX('Passages List'!C$3:C$65,MATCH($G262,'Passages List'!$E$3:$E$65,1)))</f>
        <v>Chennai (ex Madras) (INMAA)</v>
      </c>
      <c r="C262" s="1">
        <f>IF($G262="","",INDEX('Passages List'!E$3:E$65,MATCH($G262,'Passages List'!$E$3:$E$65,1)))</f>
        <v>46219.066666666666</v>
      </c>
      <c r="D262" s="1">
        <f>IF($G262="","",INDEX('Passages List'!F$3:F$65,MATCH($G262,'Passages List'!$E$3:$E$65,1)))</f>
        <v>46223.466666666667</v>
      </c>
      <c r="E262" t="str">
        <f>IF($G262="","",INDEX('Passages List'!G$3:G$65,MATCH($G262,'Passages List'!$E$3:$E$65,1)))</f>
        <v>Cargo</v>
      </c>
      <c r="F262" t="s">
        <v>99</v>
      </c>
      <c r="G262" s="1">
        <v>46223.25</v>
      </c>
      <c r="H262" t="s">
        <v>550</v>
      </c>
      <c r="I262" t="s">
        <v>551</v>
      </c>
      <c r="J262" t="s">
        <v>638</v>
      </c>
      <c r="K262" t="s">
        <v>641</v>
      </c>
      <c r="L262" t="s">
        <v>552</v>
      </c>
      <c r="M262">
        <v>144</v>
      </c>
      <c r="N262" t="s">
        <v>17</v>
      </c>
      <c r="O262">
        <v>7.6</v>
      </c>
      <c r="P262" t="s">
        <v>17</v>
      </c>
    </row>
    <row r="263" spans="1:16" x14ac:dyDescent="0.2">
      <c r="A263" t="str">
        <f>IF($G263="","",INDEX('Passages List'!B$3:B$65,MATCH($G263,'Passages List'!$E$3:$E$65,1)))</f>
        <v/>
      </c>
      <c r="B263" t="str">
        <f>IF($G263="","",INDEX('Passages List'!C$3:C$65,MATCH($G263,'Passages List'!$E$3:$E$65,1)))</f>
        <v>Chennai (ex Madras) (INMAA)</v>
      </c>
      <c r="C263" s="1">
        <f>IF($G263="","",INDEX('Passages List'!E$3:E$65,MATCH($G263,'Passages List'!$E$3:$E$65,1)))</f>
        <v>46223.466666666667</v>
      </c>
      <c r="D263" s="1">
        <f>IF($G263="","",INDEX('Passages List'!F$3:F$65,MATCH($G263,'Passages List'!$E$3:$E$65,1)))</f>
        <v>46224.848611111112</v>
      </c>
      <c r="E263" t="str">
        <f>IF($G263="","",INDEX('Passages List'!G$3:G$65,MATCH($G263,'Passages List'!$E$3:$E$65,1)))</f>
        <v>Cargo operations</v>
      </c>
      <c r="F263" t="s">
        <v>104</v>
      </c>
      <c r="G263" s="1">
        <v>46223.466666666667</v>
      </c>
      <c r="H263" t="s">
        <v>553</v>
      </c>
      <c r="I263" t="s">
        <v>186</v>
      </c>
      <c r="J263" t="s">
        <v>638</v>
      </c>
      <c r="K263" t="s">
        <v>624</v>
      </c>
      <c r="L263" t="s">
        <v>522</v>
      </c>
      <c r="M263">
        <v>22.5</v>
      </c>
      <c r="N263">
        <v>14410.2</v>
      </c>
      <c r="O263">
        <v>1.4</v>
      </c>
      <c r="P263" t="s">
        <v>17</v>
      </c>
    </row>
    <row r="264" spans="1:16" x14ac:dyDescent="0.2">
      <c r="A264" t="str">
        <f>IF($G264="","",INDEX('Passages List'!B$3:B$65,MATCH($G264,'Passages List'!$E$3:$E$65,1)))</f>
        <v/>
      </c>
      <c r="B264" t="str">
        <f>IF($G264="","",INDEX('Passages List'!C$3:C$65,MATCH($G264,'Passages List'!$E$3:$E$65,1)))</f>
        <v>Chennai (ex Madras) (INMAA)</v>
      </c>
      <c r="C264" s="1">
        <f>IF($G264="","",INDEX('Passages List'!E$3:E$65,MATCH($G264,'Passages List'!$E$3:$E$65,1)))</f>
        <v>46223.466666666667</v>
      </c>
      <c r="D264" s="1">
        <f>IF($G264="","",INDEX('Passages List'!F$3:F$65,MATCH($G264,'Passages List'!$E$3:$E$65,1)))</f>
        <v>46224.848611111112</v>
      </c>
      <c r="E264" t="str">
        <f>IF($G264="","",INDEX('Passages List'!G$3:G$65,MATCH($G264,'Passages List'!$E$3:$E$65,1)))</f>
        <v>Cargo operations</v>
      </c>
      <c r="F264" t="s">
        <v>105</v>
      </c>
      <c r="G264" s="1">
        <v>46223.729166666664</v>
      </c>
      <c r="H264" t="s">
        <v>553</v>
      </c>
      <c r="I264" t="s">
        <v>186</v>
      </c>
      <c r="J264" t="s">
        <v>638</v>
      </c>
      <c r="L264" t="s">
        <v>554</v>
      </c>
      <c r="M264" t="s">
        <v>17</v>
      </c>
      <c r="N264" t="s">
        <v>17</v>
      </c>
      <c r="O264">
        <v>0.5</v>
      </c>
      <c r="P264">
        <v>0.3</v>
      </c>
    </row>
    <row r="265" spans="1:16" x14ac:dyDescent="0.2">
      <c r="A265" t="str">
        <f>IF($G265="","",INDEX('Passages List'!B$3:B$65,MATCH($G265,'Passages List'!$E$3:$E$65,1)))</f>
        <v/>
      </c>
      <c r="B265" t="str">
        <f>IF($G265="","",INDEX('Passages List'!C$3:C$65,MATCH($G265,'Passages List'!$E$3:$E$65,1)))</f>
        <v>Chennai (ex Madras) (INMAA)</v>
      </c>
      <c r="C265" s="1">
        <f>IF($G265="","",INDEX('Passages List'!E$3:E$65,MATCH($G265,'Passages List'!$E$3:$E$65,1)))</f>
        <v>46223.466666666667</v>
      </c>
      <c r="D265" s="1">
        <f>IF($G265="","",INDEX('Passages List'!F$3:F$65,MATCH($G265,'Passages List'!$E$3:$E$65,1)))</f>
        <v>46224.848611111112</v>
      </c>
      <c r="E265" t="str">
        <f>IF($G265="","",INDEX('Passages List'!G$3:G$65,MATCH($G265,'Passages List'!$E$3:$E$65,1)))</f>
        <v>Cargo operations</v>
      </c>
      <c r="F265" t="s">
        <v>105</v>
      </c>
      <c r="G265" s="1">
        <v>46224.729166666664</v>
      </c>
      <c r="H265" t="s">
        <v>553</v>
      </c>
      <c r="I265" t="s">
        <v>186</v>
      </c>
      <c r="J265" t="s">
        <v>638</v>
      </c>
      <c r="L265" t="s">
        <v>102</v>
      </c>
      <c r="M265" t="s">
        <v>17</v>
      </c>
      <c r="N265" t="s">
        <v>17</v>
      </c>
      <c r="O265">
        <v>2.6</v>
      </c>
      <c r="P265">
        <v>0.9</v>
      </c>
    </row>
    <row r="266" spans="1:16" x14ac:dyDescent="0.2">
      <c r="A266" t="str">
        <f>IF($G266="","",INDEX('Passages List'!B$3:B$65,MATCH($G266,'Passages List'!$E$3:$E$65,1)))</f>
        <v>Chennai (ex Madras) (INMAA)</v>
      </c>
      <c r="B266" t="str">
        <f>IF($G266="","",INDEX('Passages List'!C$3:C$65,MATCH($G266,'Passages List'!$E$3:$E$65,1)))</f>
        <v>Hazira Port (Surat) Hbr (INHZA)</v>
      </c>
      <c r="C266" s="1">
        <f>IF($G266="","",INDEX('Passages List'!E$3:E$65,MATCH($G266,'Passages List'!$E$3:$E$65,1)))</f>
        <v>46224.848611111112</v>
      </c>
      <c r="D266" s="1">
        <f>IF($G266="","",INDEX('Passages List'!F$3:F$65,MATCH($G266,'Passages List'!$E$3:$E$65,1)))</f>
        <v>46231.875</v>
      </c>
      <c r="E266" t="str">
        <f>IF($G266="","",INDEX('Passages List'!G$3:G$65,MATCH($G266,'Passages List'!$E$3:$E$65,1)))</f>
        <v>Ballast</v>
      </c>
      <c r="F266" t="s">
        <v>106</v>
      </c>
      <c r="G266" s="1">
        <v>46224.848611111112</v>
      </c>
      <c r="H266" t="s">
        <v>553</v>
      </c>
      <c r="I266" t="s">
        <v>186</v>
      </c>
      <c r="J266" t="s">
        <v>87</v>
      </c>
      <c r="L266" t="s">
        <v>555</v>
      </c>
      <c r="M266" t="s">
        <v>17</v>
      </c>
      <c r="N266" t="s">
        <v>17</v>
      </c>
      <c r="O266">
        <v>0.2</v>
      </c>
      <c r="P266">
        <v>0.1</v>
      </c>
    </row>
    <row r="267" spans="1:16" x14ac:dyDescent="0.2">
      <c r="A267" t="str">
        <f>IF($G267="","",INDEX('Passages List'!B$3:B$65,MATCH($G267,'Passages List'!$E$3:$E$65,1)))</f>
        <v>Chennai (ex Madras) (INMAA)</v>
      </c>
      <c r="B267" t="str">
        <f>IF($G267="","",INDEX('Passages List'!C$3:C$65,MATCH($G267,'Passages List'!$E$3:$E$65,1)))</f>
        <v>Hazira Port (Surat) Hbr (INHZA)</v>
      </c>
      <c r="C267" s="1">
        <f>IF($G267="","",INDEX('Passages List'!E$3:E$65,MATCH($G267,'Passages List'!$E$3:$E$65,1)))</f>
        <v>46224.848611111112</v>
      </c>
      <c r="D267" s="1">
        <f>IF($G267="","",INDEX('Passages List'!F$3:F$65,MATCH($G267,'Passages List'!$E$3:$E$65,1)))</f>
        <v>46231.875</v>
      </c>
      <c r="E267" t="str">
        <f>IF($G267="","",INDEX('Passages List'!G$3:G$65,MATCH($G267,'Passages List'!$E$3:$E$65,1)))</f>
        <v>Ballast</v>
      </c>
      <c r="F267" t="s">
        <v>99</v>
      </c>
      <c r="G267" s="1">
        <v>46224.916666666664</v>
      </c>
      <c r="H267" t="s">
        <v>556</v>
      </c>
      <c r="I267" t="s">
        <v>557</v>
      </c>
      <c r="J267" t="s">
        <v>87</v>
      </c>
      <c r="K267" t="s">
        <v>623</v>
      </c>
      <c r="L267" t="s">
        <v>558</v>
      </c>
      <c r="M267">
        <v>12.4</v>
      </c>
      <c r="N267" t="s">
        <v>17</v>
      </c>
      <c r="O267">
        <v>1.3</v>
      </c>
      <c r="P267" t="s">
        <v>17</v>
      </c>
    </row>
    <row r="268" spans="1:16" x14ac:dyDescent="0.2">
      <c r="A268" t="str">
        <f>IF($G268="","",INDEX('Passages List'!B$3:B$65,MATCH($G268,'Passages List'!$E$3:$E$65,1)))</f>
        <v>Chennai (ex Madras) (INMAA)</v>
      </c>
      <c r="B268" t="str">
        <f>IF($G268="","",INDEX('Passages List'!C$3:C$65,MATCH($G268,'Passages List'!$E$3:$E$65,1)))</f>
        <v>Hazira Port (Surat) Hbr (INHZA)</v>
      </c>
      <c r="C268" s="1">
        <f>IF($G268="","",INDEX('Passages List'!E$3:E$65,MATCH($G268,'Passages List'!$E$3:$E$65,1)))</f>
        <v>46224.848611111112</v>
      </c>
      <c r="D268" s="1">
        <f>IF($G268="","",INDEX('Passages List'!F$3:F$65,MATCH($G268,'Passages List'!$E$3:$E$65,1)))</f>
        <v>46231.875</v>
      </c>
      <c r="E268" t="str">
        <f>IF($G268="","",INDEX('Passages List'!G$3:G$65,MATCH($G268,'Passages List'!$E$3:$E$65,1)))</f>
        <v>Ballast</v>
      </c>
      <c r="F268" t="s">
        <v>99</v>
      </c>
      <c r="G268" s="1">
        <v>46225.729166666664</v>
      </c>
      <c r="H268" t="s">
        <v>559</v>
      </c>
      <c r="I268" t="s">
        <v>560</v>
      </c>
      <c r="J268" t="s">
        <v>87</v>
      </c>
      <c r="K268" t="s">
        <v>641</v>
      </c>
      <c r="L268" t="s">
        <v>253</v>
      </c>
      <c r="M268">
        <v>207</v>
      </c>
      <c r="N268" t="s">
        <v>17</v>
      </c>
      <c r="O268">
        <v>12.8</v>
      </c>
      <c r="P268" t="s">
        <v>17</v>
      </c>
    </row>
    <row r="269" spans="1:16" x14ac:dyDescent="0.2">
      <c r="A269" t="str">
        <f>IF($G269="","",INDEX('Passages List'!B$3:B$65,MATCH($G269,'Passages List'!$E$3:$E$65,1)))</f>
        <v>Chennai (ex Madras) (INMAA)</v>
      </c>
      <c r="B269" t="str">
        <f>IF($G269="","",INDEX('Passages List'!C$3:C$65,MATCH($G269,'Passages List'!$E$3:$E$65,1)))</f>
        <v>Hazira Port (Surat) Hbr (INHZA)</v>
      </c>
      <c r="C269" s="1">
        <f>IF($G269="","",INDEX('Passages List'!E$3:E$65,MATCH($G269,'Passages List'!$E$3:$E$65,1)))</f>
        <v>46224.848611111112</v>
      </c>
      <c r="D269" s="1">
        <f>IF($G269="","",INDEX('Passages List'!F$3:F$65,MATCH($G269,'Passages List'!$E$3:$E$65,1)))</f>
        <v>46231.875</v>
      </c>
      <c r="E269" t="str">
        <f>IF($G269="","",INDEX('Passages List'!G$3:G$65,MATCH($G269,'Passages List'!$E$3:$E$65,1)))</f>
        <v>Ballast</v>
      </c>
      <c r="F269" t="s">
        <v>99</v>
      </c>
      <c r="G269" s="1">
        <v>46226.729166666664</v>
      </c>
      <c r="H269" t="s">
        <v>561</v>
      </c>
      <c r="I269" t="s">
        <v>562</v>
      </c>
      <c r="J269" t="s">
        <v>87</v>
      </c>
      <c r="K269" t="s">
        <v>641</v>
      </c>
      <c r="L269" t="s">
        <v>102</v>
      </c>
      <c r="M269">
        <v>276.5</v>
      </c>
      <c r="N269" t="s">
        <v>17</v>
      </c>
      <c r="O269">
        <v>15.8</v>
      </c>
      <c r="P269" t="s">
        <v>17</v>
      </c>
    </row>
    <row r="270" spans="1:16" x14ac:dyDescent="0.2">
      <c r="A270" t="str">
        <f>IF($G270="","",INDEX('Passages List'!B$3:B$65,MATCH($G270,'Passages List'!$E$3:$E$65,1)))</f>
        <v>Chennai (ex Madras) (INMAA)</v>
      </c>
      <c r="B270" t="str">
        <f>IF($G270="","",INDEX('Passages List'!C$3:C$65,MATCH($G270,'Passages List'!$E$3:$E$65,1)))</f>
        <v>Hazira Port (Surat) Hbr (INHZA)</v>
      </c>
      <c r="C270" s="1">
        <f>IF($G270="","",INDEX('Passages List'!E$3:E$65,MATCH($G270,'Passages List'!$E$3:$E$65,1)))</f>
        <v>46224.848611111112</v>
      </c>
      <c r="D270" s="1">
        <f>IF($G270="","",INDEX('Passages List'!F$3:F$65,MATCH($G270,'Passages List'!$E$3:$E$65,1)))</f>
        <v>46231.875</v>
      </c>
      <c r="E270" t="str">
        <f>IF($G270="","",INDEX('Passages List'!G$3:G$65,MATCH($G270,'Passages List'!$E$3:$E$65,1)))</f>
        <v>Ballast</v>
      </c>
      <c r="F270" t="s">
        <v>99</v>
      </c>
      <c r="G270" s="1">
        <v>46227.729166666664</v>
      </c>
      <c r="H270" t="s">
        <v>563</v>
      </c>
      <c r="I270" t="s">
        <v>564</v>
      </c>
      <c r="J270" t="s">
        <v>87</v>
      </c>
      <c r="K270" t="s">
        <v>641</v>
      </c>
      <c r="L270" t="s">
        <v>102</v>
      </c>
      <c r="M270">
        <v>268.5</v>
      </c>
      <c r="N270" t="s">
        <v>17</v>
      </c>
      <c r="O270">
        <v>15.7</v>
      </c>
      <c r="P270" t="s">
        <v>17</v>
      </c>
    </row>
    <row r="271" spans="1:16" x14ac:dyDescent="0.2">
      <c r="A271" t="str">
        <f>IF($G271="","",INDEX('Passages List'!B$3:B$65,MATCH($G271,'Passages List'!$E$3:$E$65,1)))</f>
        <v>Chennai (ex Madras) (INMAA)</v>
      </c>
      <c r="B271" t="str">
        <f>IF($G271="","",INDEX('Passages List'!C$3:C$65,MATCH($G271,'Passages List'!$E$3:$E$65,1)))</f>
        <v>Hazira Port (Surat) Hbr (INHZA)</v>
      </c>
      <c r="C271" s="1">
        <f>IF($G271="","",INDEX('Passages List'!E$3:E$65,MATCH($G271,'Passages List'!$E$3:$E$65,1)))</f>
        <v>46224.848611111112</v>
      </c>
      <c r="D271" s="1">
        <f>IF($G271="","",INDEX('Passages List'!F$3:F$65,MATCH($G271,'Passages List'!$E$3:$E$65,1)))</f>
        <v>46231.875</v>
      </c>
      <c r="E271" t="str">
        <f>IF($G271="","",INDEX('Passages List'!G$3:G$65,MATCH($G271,'Passages List'!$E$3:$E$65,1)))</f>
        <v>Ballast</v>
      </c>
      <c r="F271" t="s">
        <v>99</v>
      </c>
      <c r="G271" s="1">
        <v>46228.729166666664</v>
      </c>
      <c r="H271" t="s">
        <v>565</v>
      </c>
      <c r="I271" t="s">
        <v>566</v>
      </c>
      <c r="J271" t="s">
        <v>87</v>
      </c>
      <c r="K271" t="s">
        <v>641</v>
      </c>
      <c r="L271" t="s">
        <v>102</v>
      </c>
      <c r="M271">
        <v>263</v>
      </c>
      <c r="N271" t="s">
        <v>17</v>
      </c>
      <c r="O271">
        <v>15.7</v>
      </c>
      <c r="P271" t="s">
        <v>17</v>
      </c>
    </row>
    <row r="272" spans="1:16" x14ac:dyDescent="0.2">
      <c r="A272" t="str">
        <f>IF($G272="","",INDEX('Passages List'!B$3:B$65,MATCH($G272,'Passages List'!$E$3:$E$65,1)))</f>
        <v>Chennai (ex Madras) (INMAA)</v>
      </c>
      <c r="B272" t="str">
        <f>IF($G272="","",INDEX('Passages List'!C$3:C$65,MATCH($G272,'Passages List'!$E$3:$E$65,1)))</f>
        <v>Hazira Port (Surat) Hbr (INHZA)</v>
      </c>
      <c r="C272" s="1">
        <f>IF($G272="","",INDEX('Passages List'!E$3:E$65,MATCH($G272,'Passages List'!$E$3:$E$65,1)))</f>
        <v>46224.848611111112</v>
      </c>
      <c r="D272" s="1">
        <f>IF($G272="","",INDEX('Passages List'!F$3:F$65,MATCH($G272,'Passages List'!$E$3:$E$65,1)))</f>
        <v>46231.875</v>
      </c>
      <c r="E272" t="str">
        <f>IF($G272="","",INDEX('Passages List'!G$3:G$65,MATCH($G272,'Passages List'!$E$3:$E$65,1)))</f>
        <v>Ballast</v>
      </c>
      <c r="F272" t="s">
        <v>99</v>
      </c>
      <c r="G272" s="1">
        <v>46229.729166666664</v>
      </c>
      <c r="H272" t="s">
        <v>567</v>
      </c>
      <c r="I272" t="s">
        <v>568</v>
      </c>
      <c r="J272" t="s">
        <v>87</v>
      </c>
      <c r="K272" t="s">
        <v>641</v>
      </c>
      <c r="L272" t="s">
        <v>102</v>
      </c>
      <c r="M272">
        <v>254</v>
      </c>
      <c r="N272" t="s">
        <v>17</v>
      </c>
      <c r="O272">
        <v>16.3</v>
      </c>
      <c r="P272" t="s">
        <v>17</v>
      </c>
    </row>
    <row r="273" spans="1:16" x14ac:dyDescent="0.2">
      <c r="A273" t="str">
        <f>IF($G273="","",INDEX('Passages List'!B$3:B$65,MATCH($G273,'Passages List'!$E$3:$E$65,1)))</f>
        <v>Chennai (ex Madras) (INMAA)</v>
      </c>
      <c r="B273" t="str">
        <f>IF($G273="","",INDEX('Passages List'!C$3:C$65,MATCH($G273,'Passages List'!$E$3:$E$65,1)))</f>
        <v>Hazira Port (Surat) Hbr (INHZA)</v>
      </c>
      <c r="C273" s="1">
        <f>IF($G273="","",INDEX('Passages List'!E$3:E$65,MATCH($G273,'Passages List'!$E$3:$E$65,1)))</f>
        <v>46224.848611111112</v>
      </c>
      <c r="D273" s="1">
        <f>IF($G273="","",INDEX('Passages List'!F$3:F$65,MATCH($G273,'Passages List'!$E$3:$E$65,1)))</f>
        <v>46231.875</v>
      </c>
      <c r="E273" t="str">
        <f>IF($G273="","",INDEX('Passages List'!G$3:G$65,MATCH($G273,'Passages List'!$E$3:$E$65,1)))</f>
        <v>Ballast</v>
      </c>
      <c r="F273" t="s">
        <v>99</v>
      </c>
      <c r="G273" s="1">
        <v>46230.729166666664</v>
      </c>
      <c r="H273" t="s">
        <v>569</v>
      </c>
      <c r="I273" t="s">
        <v>570</v>
      </c>
      <c r="J273" t="s">
        <v>87</v>
      </c>
      <c r="K273" t="s">
        <v>641</v>
      </c>
      <c r="L273" t="s">
        <v>102</v>
      </c>
      <c r="M273">
        <v>268</v>
      </c>
      <c r="N273" t="s">
        <v>17</v>
      </c>
      <c r="O273">
        <v>15.7</v>
      </c>
      <c r="P273" t="s">
        <v>17</v>
      </c>
    </row>
    <row r="274" spans="1:16" x14ac:dyDescent="0.2">
      <c r="A274" t="str">
        <f>IF($G274="","",INDEX('Passages List'!B$3:B$65,MATCH($G274,'Passages List'!$E$3:$E$65,1)))</f>
        <v>Chennai (ex Madras) (INMAA)</v>
      </c>
      <c r="B274" t="str">
        <f>IF($G274="","",INDEX('Passages List'!C$3:C$65,MATCH($G274,'Passages List'!$E$3:$E$65,1)))</f>
        <v>Hazira Port (Surat) Hbr (INHZA)</v>
      </c>
      <c r="C274" s="1">
        <f>IF($G274="","",INDEX('Passages List'!E$3:E$65,MATCH($G274,'Passages List'!$E$3:$E$65,1)))</f>
        <v>46224.848611111112</v>
      </c>
      <c r="D274" s="1">
        <f>IF($G274="","",INDEX('Passages List'!F$3:F$65,MATCH($G274,'Passages List'!$E$3:$E$65,1)))</f>
        <v>46231.875</v>
      </c>
      <c r="E274" t="str">
        <f>IF($G274="","",INDEX('Passages List'!G$3:G$65,MATCH($G274,'Passages List'!$E$3:$E$65,1)))</f>
        <v>Ballast</v>
      </c>
      <c r="F274" t="s">
        <v>99</v>
      </c>
      <c r="G274" s="1">
        <v>46230.987500000003</v>
      </c>
      <c r="H274" t="s">
        <v>571</v>
      </c>
      <c r="I274" t="s">
        <v>572</v>
      </c>
      <c r="J274" t="s">
        <v>87</v>
      </c>
      <c r="K274" t="s">
        <v>641</v>
      </c>
      <c r="L274" t="s">
        <v>573</v>
      </c>
      <c r="M274">
        <v>71.5</v>
      </c>
      <c r="N274" t="s">
        <v>17</v>
      </c>
      <c r="O274">
        <v>4.5999999999999996</v>
      </c>
      <c r="P274" t="s">
        <v>17</v>
      </c>
    </row>
    <row r="275" spans="1:16" x14ac:dyDescent="0.2">
      <c r="A275" t="str">
        <f>IF($G275="","",INDEX('Passages List'!B$3:B$65,MATCH($G275,'Passages List'!$E$3:$E$65,1)))</f>
        <v>Chennai (ex Madras) (INMAA)</v>
      </c>
      <c r="B275" t="str">
        <f>IF($G275="","",INDEX('Passages List'!C$3:C$65,MATCH($G275,'Passages List'!$E$3:$E$65,1)))</f>
        <v>Hazira Port (Surat) Hbr (INHZA)</v>
      </c>
      <c r="C275" s="1">
        <f>IF($G275="","",INDEX('Passages List'!E$3:E$65,MATCH($G275,'Passages List'!$E$3:$E$65,1)))</f>
        <v>46224.848611111112</v>
      </c>
      <c r="D275" s="1">
        <f>IF($G275="","",INDEX('Passages List'!F$3:F$65,MATCH($G275,'Passages List'!$E$3:$E$65,1)))</f>
        <v>46231.875</v>
      </c>
      <c r="E275" t="str">
        <f>IF($G275="","",INDEX('Passages List'!G$3:G$65,MATCH($G275,'Passages List'!$E$3:$E$65,1)))</f>
        <v>Ballast</v>
      </c>
      <c r="F275" t="s">
        <v>99</v>
      </c>
      <c r="G275" s="1">
        <v>46231.729166666664</v>
      </c>
      <c r="H275" t="s">
        <v>574</v>
      </c>
      <c r="I275" t="s">
        <v>575</v>
      </c>
      <c r="J275" t="s">
        <v>87</v>
      </c>
      <c r="K275" t="s">
        <v>641</v>
      </c>
      <c r="L275" t="s">
        <v>576</v>
      </c>
      <c r="M275">
        <v>16</v>
      </c>
      <c r="N275" t="s">
        <v>17</v>
      </c>
      <c r="O275">
        <v>3.1</v>
      </c>
      <c r="P275">
        <v>0.5</v>
      </c>
    </row>
    <row r="276" spans="1:16" x14ac:dyDescent="0.2">
      <c r="A276" t="str">
        <f>IF($G276="","",INDEX('Passages List'!B$3:B$65,MATCH($G276,'Passages List'!$E$3:$E$65,1)))</f>
        <v/>
      </c>
      <c r="B276" t="str">
        <f>IF($G276="","",INDEX('Passages List'!C$3:C$65,MATCH($G276,'Passages List'!$E$3:$E$65,1)))</f>
        <v>Hazira Port (Surat) Hbr (INHZA)</v>
      </c>
      <c r="C276" s="1">
        <f>IF($G276="","",INDEX('Passages List'!E$3:E$65,MATCH($G276,'Passages List'!$E$3:$E$65,1)))</f>
        <v>46231.875</v>
      </c>
      <c r="D276" s="1">
        <f>IF($G276="","",INDEX('Passages List'!F$3:F$65,MATCH($G276,'Passages List'!$E$3:$E$65,1)))</f>
        <v>46238.991666666669</v>
      </c>
      <c r="E276" t="str">
        <f>IF($G276="","",INDEX('Passages List'!G$3:G$65,MATCH($G276,'Passages List'!$E$3:$E$65,1)))</f>
        <v>Cargo operations</v>
      </c>
      <c r="F276" t="s">
        <v>104</v>
      </c>
      <c r="G276" s="1">
        <v>46231.875</v>
      </c>
      <c r="H276" t="s">
        <v>577</v>
      </c>
      <c r="I276" t="s">
        <v>228</v>
      </c>
      <c r="J276" t="s">
        <v>87</v>
      </c>
      <c r="K276" t="s">
        <v>624</v>
      </c>
      <c r="L276" t="s">
        <v>257</v>
      </c>
      <c r="M276">
        <v>19</v>
      </c>
      <c r="N276" t="s">
        <v>17</v>
      </c>
      <c r="O276">
        <v>1.2</v>
      </c>
      <c r="P276">
        <v>0.2</v>
      </c>
    </row>
    <row r="277" spans="1:16" x14ac:dyDescent="0.2">
      <c r="A277" t="str">
        <f>IF($G277="","",INDEX('Passages List'!B$3:B$65,MATCH($G277,'Passages List'!$E$3:$E$65,1)))</f>
        <v/>
      </c>
      <c r="B277" t="str">
        <f>IF($G277="","",INDEX('Passages List'!C$3:C$65,MATCH($G277,'Passages List'!$E$3:$E$65,1)))</f>
        <v>Hazira Port (Surat) Hbr (INHZA)</v>
      </c>
      <c r="C277" s="1">
        <f>IF($G277="","",INDEX('Passages List'!E$3:E$65,MATCH($G277,'Passages List'!$E$3:$E$65,1)))</f>
        <v>46231.875</v>
      </c>
      <c r="D277" s="1">
        <f>IF($G277="","",INDEX('Passages List'!F$3:F$65,MATCH($G277,'Passages List'!$E$3:$E$65,1)))</f>
        <v>46238.991666666669</v>
      </c>
      <c r="E277" t="str">
        <f>IF($G277="","",INDEX('Passages List'!G$3:G$65,MATCH($G277,'Passages List'!$E$3:$E$65,1)))</f>
        <v>Cargo operations</v>
      </c>
      <c r="F277" t="s">
        <v>105</v>
      </c>
      <c r="G277" s="1">
        <v>46232.729166666664</v>
      </c>
      <c r="H277" t="s">
        <v>577</v>
      </c>
      <c r="I277" t="s">
        <v>228</v>
      </c>
      <c r="J277" t="s">
        <v>87</v>
      </c>
      <c r="L277" t="s">
        <v>578</v>
      </c>
      <c r="M277" t="s">
        <v>17</v>
      </c>
      <c r="N277" t="s">
        <v>17</v>
      </c>
      <c r="O277">
        <v>1.5</v>
      </c>
      <c r="P277">
        <v>0.8</v>
      </c>
    </row>
    <row r="278" spans="1:16" x14ac:dyDescent="0.2">
      <c r="A278" t="str">
        <f>IF($G278="","",INDEX('Passages List'!B$3:B$65,MATCH($G278,'Passages List'!$E$3:$E$65,1)))</f>
        <v/>
      </c>
      <c r="B278" t="str">
        <f>IF($G278="","",INDEX('Passages List'!C$3:C$65,MATCH($G278,'Passages List'!$E$3:$E$65,1)))</f>
        <v>Hazira Port (Surat) Hbr (INHZA)</v>
      </c>
      <c r="C278" s="1">
        <f>IF($G278="","",INDEX('Passages List'!E$3:E$65,MATCH($G278,'Passages List'!$E$3:$E$65,1)))</f>
        <v>46231.875</v>
      </c>
      <c r="D278" s="1">
        <f>IF($G278="","",INDEX('Passages List'!F$3:F$65,MATCH($G278,'Passages List'!$E$3:$E$65,1)))</f>
        <v>46238.991666666669</v>
      </c>
      <c r="E278" t="str">
        <f>IF($G278="","",INDEX('Passages List'!G$3:G$65,MATCH($G278,'Passages List'!$E$3:$E$65,1)))</f>
        <v>Cargo operations</v>
      </c>
      <c r="F278" t="s">
        <v>105</v>
      </c>
      <c r="G278" s="1">
        <v>46233.729166666664</v>
      </c>
      <c r="H278" t="s">
        <v>579</v>
      </c>
      <c r="I278" t="s">
        <v>150</v>
      </c>
      <c r="J278" t="s">
        <v>87</v>
      </c>
      <c r="L278" t="s">
        <v>102</v>
      </c>
      <c r="M278" t="s">
        <v>17</v>
      </c>
      <c r="N278" t="s">
        <v>17</v>
      </c>
      <c r="O278">
        <v>1.8</v>
      </c>
      <c r="P278">
        <v>0.9</v>
      </c>
    </row>
    <row r="279" spans="1:16" x14ac:dyDescent="0.2">
      <c r="A279" t="str">
        <f>IF($G279="","",INDEX('Passages List'!B$3:B$65,MATCH($G279,'Passages List'!$E$3:$E$65,1)))</f>
        <v/>
      </c>
      <c r="B279" t="str">
        <f>IF($G279="","",INDEX('Passages List'!C$3:C$65,MATCH($G279,'Passages List'!$E$3:$E$65,1)))</f>
        <v>Hazira Port (Surat) Hbr (INHZA)</v>
      </c>
      <c r="C279" s="1">
        <f>IF($G279="","",INDEX('Passages List'!E$3:E$65,MATCH($G279,'Passages List'!$E$3:$E$65,1)))</f>
        <v>46231.875</v>
      </c>
      <c r="D279" s="1">
        <f>IF($G279="","",INDEX('Passages List'!F$3:F$65,MATCH($G279,'Passages List'!$E$3:$E$65,1)))</f>
        <v>46238.991666666669</v>
      </c>
      <c r="E279" t="str">
        <f>IF($G279="","",INDEX('Passages List'!G$3:G$65,MATCH($G279,'Passages List'!$E$3:$E$65,1)))</f>
        <v>Cargo operations</v>
      </c>
      <c r="F279" t="s">
        <v>105</v>
      </c>
      <c r="G279" s="1">
        <v>46234.729166666664</v>
      </c>
      <c r="H279" t="s">
        <v>579</v>
      </c>
      <c r="I279" t="s">
        <v>150</v>
      </c>
      <c r="J279" t="s">
        <v>87</v>
      </c>
      <c r="L279" t="s">
        <v>102</v>
      </c>
      <c r="M279" t="s">
        <v>17</v>
      </c>
      <c r="N279" t="s">
        <v>17</v>
      </c>
      <c r="O279">
        <v>1.8</v>
      </c>
      <c r="P279">
        <v>0.9</v>
      </c>
    </row>
    <row r="280" spans="1:16" x14ac:dyDescent="0.2">
      <c r="A280" t="str">
        <f>IF($G280="","",INDEX('Passages List'!B$3:B$65,MATCH($G280,'Passages List'!$E$3:$E$65,1)))</f>
        <v/>
      </c>
      <c r="B280" t="str">
        <f>IF($G280="","",INDEX('Passages List'!C$3:C$65,MATCH($G280,'Passages List'!$E$3:$E$65,1)))</f>
        <v>Hazira Port (Surat) Hbr (INHZA)</v>
      </c>
      <c r="C280" s="1">
        <f>IF($G280="","",INDEX('Passages List'!E$3:E$65,MATCH($G280,'Passages List'!$E$3:$E$65,1)))</f>
        <v>46231.875</v>
      </c>
      <c r="D280" s="1">
        <f>IF($G280="","",INDEX('Passages List'!F$3:F$65,MATCH($G280,'Passages List'!$E$3:$E$65,1)))</f>
        <v>46238.991666666669</v>
      </c>
      <c r="E280" t="str">
        <f>IF($G280="","",INDEX('Passages List'!G$3:G$65,MATCH($G280,'Passages List'!$E$3:$E$65,1)))</f>
        <v>Cargo operations</v>
      </c>
      <c r="F280" t="s">
        <v>105</v>
      </c>
      <c r="G280" s="1">
        <v>46235.729166666664</v>
      </c>
      <c r="H280" t="s">
        <v>579</v>
      </c>
      <c r="I280" t="s">
        <v>150</v>
      </c>
      <c r="J280" t="s">
        <v>87</v>
      </c>
      <c r="L280" t="s">
        <v>102</v>
      </c>
      <c r="M280" t="s">
        <v>17</v>
      </c>
      <c r="N280" t="s">
        <v>17</v>
      </c>
      <c r="O280">
        <v>1.6</v>
      </c>
      <c r="P280">
        <v>0.9</v>
      </c>
    </row>
    <row r="281" spans="1:16" x14ac:dyDescent="0.2">
      <c r="A281" t="str">
        <f>IF($G281="","",INDEX('Passages List'!B$3:B$65,MATCH($G281,'Passages List'!$E$3:$E$65,1)))</f>
        <v/>
      </c>
      <c r="B281" t="str">
        <f>IF($G281="","",INDEX('Passages List'!C$3:C$65,MATCH($G281,'Passages List'!$E$3:$E$65,1)))</f>
        <v>Hazira Port (Surat) Hbr (INHZA)</v>
      </c>
      <c r="C281" s="1">
        <f>IF($G281="","",INDEX('Passages List'!E$3:E$65,MATCH($G281,'Passages List'!$E$3:$E$65,1)))</f>
        <v>46231.875</v>
      </c>
      <c r="D281" s="1">
        <f>IF($G281="","",INDEX('Passages List'!F$3:F$65,MATCH($G281,'Passages List'!$E$3:$E$65,1)))</f>
        <v>46238.991666666669</v>
      </c>
      <c r="E281" t="str">
        <f>IF($G281="","",INDEX('Passages List'!G$3:G$65,MATCH($G281,'Passages List'!$E$3:$E$65,1)))</f>
        <v>Cargo operations</v>
      </c>
      <c r="F281" t="s">
        <v>105</v>
      </c>
      <c r="G281" s="1">
        <v>46236.729166666664</v>
      </c>
      <c r="H281" t="s">
        <v>579</v>
      </c>
      <c r="I281" t="s">
        <v>150</v>
      </c>
      <c r="J281" t="s">
        <v>87</v>
      </c>
      <c r="L281" t="s">
        <v>102</v>
      </c>
      <c r="M281" t="s">
        <v>17</v>
      </c>
      <c r="N281" t="s">
        <v>17</v>
      </c>
      <c r="O281">
        <v>1.6</v>
      </c>
      <c r="P281">
        <v>0.9</v>
      </c>
    </row>
    <row r="282" spans="1:16" x14ac:dyDescent="0.2">
      <c r="A282" t="str">
        <f>IF($G282="","",INDEX('Passages List'!B$3:B$65,MATCH($G282,'Passages List'!$E$3:$E$65,1)))</f>
        <v/>
      </c>
      <c r="B282" t="str">
        <f>IF($G282="","",INDEX('Passages List'!C$3:C$65,MATCH($G282,'Passages List'!$E$3:$E$65,1)))</f>
        <v>Hazira Port (Surat) Hbr (INHZA)</v>
      </c>
      <c r="C282" s="1">
        <f>IF($G282="","",INDEX('Passages List'!E$3:E$65,MATCH($G282,'Passages List'!$E$3:$E$65,1)))</f>
        <v>46231.875</v>
      </c>
      <c r="D282" s="1">
        <f>IF($G282="","",INDEX('Passages List'!F$3:F$65,MATCH($G282,'Passages List'!$E$3:$E$65,1)))</f>
        <v>46238.991666666669</v>
      </c>
      <c r="E282" t="str">
        <f>IF($G282="","",INDEX('Passages List'!G$3:G$65,MATCH($G282,'Passages List'!$E$3:$E$65,1)))</f>
        <v>Cargo operations</v>
      </c>
      <c r="F282" t="s">
        <v>105</v>
      </c>
      <c r="G282" s="1">
        <v>46237.729166666664</v>
      </c>
      <c r="H282" t="s">
        <v>579</v>
      </c>
      <c r="I282" t="s">
        <v>150</v>
      </c>
      <c r="J282" t="s">
        <v>87</v>
      </c>
      <c r="L282" t="s">
        <v>102</v>
      </c>
      <c r="M282" t="s">
        <v>17</v>
      </c>
      <c r="N282" t="s">
        <v>17</v>
      </c>
      <c r="O282">
        <v>1.6</v>
      </c>
      <c r="P282">
        <v>1.1000000000000001</v>
      </c>
    </row>
    <row r="283" spans="1:16" x14ac:dyDescent="0.2">
      <c r="A283" t="str">
        <f>IF($G283="","",INDEX('Passages List'!B$3:B$65,MATCH($G283,'Passages List'!$E$3:$E$65,1)))</f>
        <v/>
      </c>
      <c r="B283" t="str">
        <f>IF($G283="","",INDEX('Passages List'!C$3:C$65,MATCH($G283,'Passages List'!$E$3:$E$65,1)))</f>
        <v>Hazira Port (Surat) Hbr (INHZA)</v>
      </c>
      <c r="C283" s="1">
        <f>IF($G283="","",INDEX('Passages List'!E$3:E$65,MATCH($G283,'Passages List'!$E$3:$E$65,1)))</f>
        <v>46231.875</v>
      </c>
      <c r="D283" s="1">
        <f>IF($G283="","",INDEX('Passages List'!F$3:F$65,MATCH($G283,'Passages List'!$E$3:$E$65,1)))</f>
        <v>46238.991666666669</v>
      </c>
      <c r="E283" t="str">
        <f>IF($G283="","",INDEX('Passages List'!G$3:G$65,MATCH($G283,'Passages List'!$E$3:$E$65,1)))</f>
        <v>Cargo operations</v>
      </c>
      <c r="F283" t="s">
        <v>105</v>
      </c>
      <c r="G283" s="1">
        <v>46238.729166666664</v>
      </c>
      <c r="H283" t="s">
        <v>579</v>
      </c>
      <c r="I283" t="s">
        <v>150</v>
      </c>
      <c r="J283" t="s">
        <v>87</v>
      </c>
      <c r="L283" t="s">
        <v>102</v>
      </c>
      <c r="M283" t="s">
        <v>17</v>
      </c>
      <c r="N283" t="s">
        <v>17</v>
      </c>
      <c r="O283">
        <v>1.6</v>
      </c>
      <c r="P283">
        <v>0.9</v>
      </c>
    </row>
    <row r="284" spans="1:16" x14ac:dyDescent="0.2">
      <c r="A284" t="str">
        <f>IF($G284="","",INDEX('Passages List'!B$3:B$65,MATCH($G284,'Passages List'!$E$3:$E$65,1)))</f>
        <v>Hazira Port (Surat) Hbr (INHZA)</v>
      </c>
      <c r="B284" t="str">
        <f>IF($G284="","",INDEX('Passages List'!C$3:C$65,MATCH($G284,'Passages List'!$E$3:$E$65,1)))</f>
        <v>New Mangalore (INNML)</v>
      </c>
      <c r="C284" s="1">
        <f>IF($G284="","",INDEX('Passages List'!E$3:E$65,MATCH($G284,'Passages List'!$E$3:$E$65,1)))</f>
        <v>46238.991666666669</v>
      </c>
      <c r="D284" s="1">
        <f>IF($G284="","",INDEX('Passages List'!F$3:F$65,MATCH($G284,'Passages List'!$E$3:$E$65,1)))</f>
        <v>46241.537499999999</v>
      </c>
      <c r="E284" t="str">
        <f>IF($G284="","",INDEX('Passages List'!G$3:G$65,MATCH($G284,'Passages List'!$E$3:$E$65,1)))</f>
        <v>Cargo</v>
      </c>
      <c r="F284" t="s">
        <v>106</v>
      </c>
      <c r="G284" s="1">
        <v>46238.991666666669</v>
      </c>
      <c r="H284" t="s">
        <v>579</v>
      </c>
      <c r="I284" t="s">
        <v>150</v>
      </c>
      <c r="J284" t="s">
        <v>639</v>
      </c>
      <c r="L284" t="s">
        <v>554</v>
      </c>
      <c r="M284" t="s">
        <v>17</v>
      </c>
      <c r="N284">
        <v>17808.8</v>
      </c>
      <c r="O284">
        <v>0.5</v>
      </c>
      <c r="P284">
        <v>0.3</v>
      </c>
    </row>
    <row r="285" spans="1:16" x14ac:dyDescent="0.2">
      <c r="A285" t="str">
        <f>IF($G285="","",INDEX('Passages List'!B$3:B$65,MATCH($G285,'Passages List'!$E$3:$E$65,1)))</f>
        <v>Hazira Port (Surat) Hbr (INHZA)</v>
      </c>
      <c r="B285" t="str">
        <f>IF($G285="","",INDEX('Passages List'!C$3:C$65,MATCH($G285,'Passages List'!$E$3:$E$65,1)))</f>
        <v>New Mangalore (INNML)</v>
      </c>
      <c r="C285" s="1">
        <f>IF($G285="","",INDEX('Passages List'!E$3:E$65,MATCH($G285,'Passages List'!$E$3:$E$65,1)))</f>
        <v>46238.991666666669</v>
      </c>
      <c r="D285" s="1">
        <f>IF($G285="","",INDEX('Passages List'!F$3:F$65,MATCH($G285,'Passages List'!$E$3:$E$65,1)))</f>
        <v>46241.537499999999</v>
      </c>
      <c r="E285" t="str">
        <f>IF($G285="","",INDEX('Passages List'!G$3:G$65,MATCH($G285,'Passages List'!$E$3:$E$65,1)))</f>
        <v>Cargo</v>
      </c>
      <c r="F285" t="s">
        <v>99</v>
      </c>
      <c r="G285" s="1">
        <v>46239.041666666664</v>
      </c>
      <c r="H285" t="s">
        <v>580</v>
      </c>
      <c r="I285" t="s">
        <v>581</v>
      </c>
      <c r="J285" t="s">
        <v>639</v>
      </c>
      <c r="K285" t="s">
        <v>623</v>
      </c>
      <c r="L285" t="s">
        <v>190</v>
      </c>
      <c r="M285">
        <v>9.1</v>
      </c>
      <c r="N285" t="s">
        <v>17</v>
      </c>
      <c r="O285">
        <v>0.3</v>
      </c>
      <c r="P285" t="s">
        <v>17</v>
      </c>
    </row>
    <row r="286" spans="1:16" x14ac:dyDescent="0.2">
      <c r="A286" t="str">
        <f>IF($G286="","",INDEX('Passages List'!B$3:B$65,MATCH($G286,'Passages List'!$E$3:$E$65,1)))</f>
        <v>Hazira Port (Surat) Hbr (INHZA)</v>
      </c>
      <c r="B286" t="str">
        <f>IF($G286="","",INDEX('Passages List'!C$3:C$65,MATCH($G286,'Passages List'!$E$3:$E$65,1)))</f>
        <v>New Mangalore (INNML)</v>
      </c>
      <c r="C286" s="1">
        <f>IF($G286="","",INDEX('Passages List'!E$3:E$65,MATCH($G286,'Passages List'!$E$3:$E$65,1)))</f>
        <v>46238.991666666669</v>
      </c>
      <c r="D286" s="1">
        <f>IF($G286="","",INDEX('Passages List'!F$3:F$65,MATCH($G286,'Passages List'!$E$3:$E$65,1)))</f>
        <v>46241.537499999999</v>
      </c>
      <c r="E286" t="str">
        <f>IF($G286="","",INDEX('Passages List'!G$3:G$65,MATCH($G286,'Passages List'!$E$3:$E$65,1)))</f>
        <v>Cargo</v>
      </c>
      <c r="F286" t="s">
        <v>99</v>
      </c>
      <c r="G286" s="1">
        <v>46239.729166666664</v>
      </c>
      <c r="H286" t="s">
        <v>582</v>
      </c>
      <c r="I286" t="s">
        <v>583</v>
      </c>
      <c r="J286" t="s">
        <v>639</v>
      </c>
      <c r="K286" t="s">
        <v>641</v>
      </c>
      <c r="L286" t="s">
        <v>520</v>
      </c>
      <c r="M286">
        <v>169</v>
      </c>
      <c r="N286" t="s">
        <v>17</v>
      </c>
      <c r="O286">
        <v>11.7</v>
      </c>
      <c r="P286" t="s">
        <v>17</v>
      </c>
    </row>
    <row r="287" spans="1:16" x14ac:dyDescent="0.2">
      <c r="A287" t="str">
        <f>IF($G287="","",INDEX('Passages List'!B$3:B$65,MATCH($G287,'Passages List'!$E$3:$E$65,1)))</f>
        <v>Hazira Port (Surat) Hbr (INHZA)</v>
      </c>
      <c r="B287" t="str">
        <f>IF($G287="","",INDEX('Passages List'!C$3:C$65,MATCH($G287,'Passages List'!$E$3:$E$65,1)))</f>
        <v>New Mangalore (INNML)</v>
      </c>
      <c r="C287" s="1">
        <f>IF($G287="","",INDEX('Passages List'!E$3:E$65,MATCH($G287,'Passages List'!$E$3:$E$65,1)))</f>
        <v>46238.991666666669</v>
      </c>
      <c r="D287" s="1">
        <f>IF($G287="","",INDEX('Passages List'!F$3:F$65,MATCH($G287,'Passages List'!$E$3:$E$65,1)))</f>
        <v>46241.537499999999</v>
      </c>
      <c r="E287" t="str">
        <f>IF($G287="","",INDEX('Passages List'!G$3:G$65,MATCH($G287,'Passages List'!$E$3:$E$65,1)))</f>
        <v>Cargo</v>
      </c>
      <c r="F287" t="s">
        <v>99</v>
      </c>
      <c r="G287" s="1">
        <v>46240.729166666664</v>
      </c>
      <c r="H287" t="s">
        <v>584</v>
      </c>
      <c r="I287" t="s">
        <v>585</v>
      </c>
      <c r="J287" t="s">
        <v>639</v>
      </c>
      <c r="K287" t="s">
        <v>641</v>
      </c>
      <c r="L287" t="s">
        <v>102</v>
      </c>
      <c r="M287">
        <v>189</v>
      </c>
      <c r="N287" t="s">
        <v>17</v>
      </c>
      <c r="O287">
        <v>15.8</v>
      </c>
      <c r="P287" t="s">
        <v>17</v>
      </c>
    </row>
    <row r="288" spans="1:16" x14ac:dyDescent="0.2">
      <c r="A288" t="str">
        <f>IF($G288="","",INDEX('Passages List'!B$3:B$65,MATCH($G288,'Passages List'!$E$3:$E$65,1)))</f>
        <v>Hazira Port (Surat) Hbr (INHZA)</v>
      </c>
      <c r="B288" t="str">
        <f>IF($G288="","",INDEX('Passages List'!C$3:C$65,MATCH($G288,'Passages List'!$E$3:$E$65,1)))</f>
        <v>New Mangalore (INNML)</v>
      </c>
      <c r="C288" s="1">
        <f>IF($G288="","",INDEX('Passages List'!E$3:E$65,MATCH($G288,'Passages List'!$E$3:$E$65,1)))</f>
        <v>46238.991666666669</v>
      </c>
      <c r="D288" s="1">
        <f>IF($G288="","",INDEX('Passages List'!F$3:F$65,MATCH($G288,'Passages List'!$E$3:$E$65,1)))</f>
        <v>46241.537499999999</v>
      </c>
      <c r="E288" t="str">
        <f>IF($G288="","",INDEX('Passages List'!G$3:G$65,MATCH($G288,'Passages List'!$E$3:$E$65,1)))</f>
        <v>Cargo</v>
      </c>
      <c r="F288" t="s">
        <v>99</v>
      </c>
      <c r="G288" s="1">
        <v>46241.395833333336</v>
      </c>
      <c r="H288" t="s">
        <v>586</v>
      </c>
      <c r="I288" t="s">
        <v>587</v>
      </c>
      <c r="J288" t="s">
        <v>639</v>
      </c>
      <c r="K288" t="s">
        <v>641</v>
      </c>
      <c r="L288" t="s">
        <v>208</v>
      </c>
      <c r="M288">
        <v>173</v>
      </c>
      <c r="N288" t="s">
        <v>17</v>
      </c>
      <c r="O288">
        <v>10.3</v>
      </c>
      <c r="P288" t="s">
        <v>17</v>
      </c>
    </row>
    <row r="289" spans="1:16" x14ac:dyDescent="0.2">
      <c r="A289" t="str">
        <f>IF($G289="","",INDEX('Passages List'!B$3:B$65,MATCH($G289,'Passages List'!$E$3:$E$65,1)))</f>
        <v/>
      </c>
      <c r="B289" t="str">
        <f>IF($G289="","",INDEX('Passages List'!C$3:C$65,MATCH($G289,'Passages List'!$E$3:$E$65,1)))</f>
        <v>New Mangalore (INNML)</v>
      </c>
      <c r="C289" s="1">
        <f>IF($G289="","",INDEX('Passages List'!E$3:E$65,MATCH($G289,'Passages List'!$E$3:$E$65,1)))</f>
        <v>46241.537499999999</v>
      </c>
      <c r="D289" s="1">
        <f>IF($G289="","",INDEX('Passages List'!F$3:F$65,MATCH($G289,'Passages List'!$E$3:$E$65,1)))</f>
        <v>46242.066666666666</v>
      </c>
      <c r="E289" t="str">
        <f>IF($G289="","",INDEX('Passages List'!G$3:G$65,MATCH($G289,'Passages List'!$E$3:$E$65,1)))</f>
        <v>Cargo operations</v>
      </c>
      <c r="F289" t="s">
        <v>104</v>
      </c>
      <c r="G289" s="1">
        <v>46241.537499999999</v>
      </c>
      <c r="H289" t="s">
        <v>307</v>
      </c>
      <c r="I289" t="s">
        <v>588</v>
      </c>
      <c r="J289" t="s">
        <v>639</v>
      </c>
      <c r="K289" t="s">
        <v>624</v>
      </c>
      <c r="L289" t="s">
        <v>589</v>
      </c>
      <c r="M289">
        <v>20.6</v>
      </c>
      <c r="N289">
        <v>17808.8</v>
      </c>
      <c r="O289">
        <v>1.5</v>
      </c>
      <c r="P289">
        <v>0.1</v>
      </c>
    </row>
    <row r="290" spans="1:16" x14ac:dyDescent="0.2">
      <c r="A290" t="str">
        <f>IF($G290="","",INDEX('Passages List'!B$3:B$65,MATCH($G290,'Passages List'!$E$3:$E$65,1)))</f>
        <v/>
      </c>
      <c r="B290" t="str">
        <f>IF($G290="","",INDEX('Passages List'!C$3:C$65,MATCH($G290,'Passages List'!$E$3:$E$65,1)))</f>
        <v>New Mangalore (INNML)</v>
      </c>
      <c r="C290" s="1">
        <f>IF($G290="","",INDEX('Passages List'!E$3:E$65,MATCH($G290,'Passages List'!$E$3:$E$65,1)))</f>
        <v>46241.537499999999</v>
      </c>
      <c r="D290" s="1">
        <f>IF($G290="","",INDEX('Passages List'!F$3:F$65,MATCH($G290,'Passages List'!$E$3:$E$65,1)))</f>
        <v>46242.066666666666</v>
      </c>
      <c r="E290" t="str">
        <f>IF($G290="","",INDEX('Passages List'!G$3:G$65,MATCH($G290,'Passages List'!$E$3:$E$65,1)))</f>
        <v>Cargo operations</v>
      </c>
      <c r="F290" t="s">
        <v>105</v>
      </c>
      <c r="G290" s="1">
        <v>46241.729166666664</v>
      </c>
      <c r="H290" t="s">
        <v>307</v>
      </c>
      <c r="I290" t="s">
        <v>588</v>
      </c>
      <c r="J290" t="s">
        <v>639</v>
      </c>
      <c r="L290" t="s">
        <v>590</v>
      </c>
      <c r="M290" t="s">
        <v>17</v>
      </c>
      <c r="N290" t="s">
        <v>17</v>
      </c>
      <c r="O290">
        <v>0.5</v>
      </c>
      <c r="P290">
        <v>0.2</v>
      </c>
    </row>
    <row r="291" spans="1:16" x14ac:dyDescent="0.2">
      <c r="A291" t="str">
        <f>IF($G291="","",INDEX('Passages List'!B$3:B$65,MATCH($G291,'Passages List'!$E$3:$E$65,1)))</f>
        <v>New Mangalore (INNML)</v>
      </c>
      <c r="B291" t="str">
        <f>IF($G291="","",INDEX('Passages List'!C$3:C$65,MATCH($G291,'Passages List'!$E$3:$E$65,1)))</f>
        <v>Chennai (ex Madras) (INMAA)</v>
      </c>
      <c r="C291" s="1">
        <f>IF($G291="","",INDEX('Passages List'!E$3:E$65,MATCH($G291,'Passages List'!$E$3:$E$65,1)))</f>
        <v>46242.066666666666</v>
      </c>
      <c r="D291" s="1">
        <f>IF($G291="","",INDEX('Passages List'!F$3:F$65,MATCH($G291,'Passages List'!$E$3:$E$65,1)))</f>
        <v>46246.554166666669</v>
      </c>
      <c r="E291" t="str">
        <f>IF($G291="","",INDEX('Passages List'!G$3:G$65,MATCH($G291,'Passages List'!$E$3:$E$65,1)))</f>
        <v>Cargo</v>
      </c>
      <c r="F291" t="s">
        <v>106</v>
      </c>
      <c r="G291" s="1">
        <v>46242.066666666666</v>
      </c>
      <c r="H291" t="s">
        <v>307</v>
      </c>
      <c r="I291" t="s">
        <v>588</v>
      </c>
      <c r="J291" t="s">
        <v>640</v>
      </c>
      <c r="L291" t="s">
        <v>538</v>
      </c>
      <c r="M291" t="s">
        <v>17</v>
      </c>
      <c r="N291">
        <v>13016.6</v>
      </c>
      <c r="O291">
        <v>0.8</v>
      </c>
      <c r="P291">
        <v>0.4</v>
      </c>
    </row>
    <row r="292" spans="1:16" x14ac:dyDescent="0.2">
      <c r="A292" t="str">
        <f>IF($G292="","",INDEX('Passages List'!B$3:B$65,MATCH($G292,'Passages List'!$E$3:$E$65,1)))</f>
        <v>New Mangalore (INNML)</v>
      </c>
      <c r="B292" t="str">
        <f>IF($G292="","",INDEX('Passages List'!C$3:C$65,MATCH($G292,'Passages List'!$E$3:$E$65,1)))</f>
        <v>Chennai (ex Madras) (INMAA)</v>
      </c>
      <c r="C292" s="1">
        <f>IF($G292="","",INDEX('Passages List'!E$3:E$65,MATCH($G292,'Passages List'!$E$3:$E$65,1)))</f>
        <v>46242.066666666666</v>
      </c>
      <c r="D292" s="1">
        <f>IF($G292="","",INDEX('Passages List'!F$3:F$65,MATCH($G292,'Passages List'!$E$3:$E$65,1)))</f>
        <v>46246.554166666669</v>
      </c>
      <c r="E292" t="str">
        <f>IF($G292="","",INDEX('Passages List'!G$3:G$65,MATCH($G292,'Passages List'!$E$3:$E$65,1)))</f>
        <v>Cargo</v>
      </c>
      <c r="F292" t="s">
        <v>99</v>
      </c>
      <c r="G292" s="1">
        <v>46242.104166666664</v>
      </c>
      <c r="H292" t="s">
        <v>591</v>
      </c>
      <c r="I292" t="s">
        <v>592</v>
      </c>
      <c r="J292" t="s">
        <v>640</v>
      </c>
      <c r="K292" t="s">
        <v>623</v>
      </c>
      <c r="L292" t="s">
        <v>314</v>
      </c>
      <c r="M292">
        <v>7.1</v>
      </c>
      <c r="N292" t="s">
        <v>17</v>
      </c>
      <c r="O292">
        <v>0.5</v>
      </c>
      <c r="P292" t="s">
        <v>17</v>
      </c>
    </row>
    <row r="293" spans="1:16" x14ac:dyDescent="0.2">
      <c r="A293" t="str">
        <f>IF($G293="","",INDEX('Passages List'!B$3:B$65,MATCH($G293,'Passages List'!$E$3:$E$65,1)))</f>
        <v>New Mangalore (INNML)</v>
      </c>
      <c r="B293" t="str">
        <f>IF($G293="","",INDEX('Passages List'!C$3:C$65,MATCH($G293,'Passages List'!$E$3:$E$65,1)))</f>
        <v>Chennai (ex Madras) (INMAA)</v>
      </c>
      <c r="C293" s="1">
        <f>IF($G293="","",INDEX('Passages List'!E$3:E$65,MATCH($G293,'Passages List'!$E$3:$E$65,1)))</f>
        <v>46242.066666666666</v>
      </c>
      <c r="D293" s="1">
        <f>IF($G293="","",INDEX('Passages List'!F$3:F$65,MATCH($G293,'Passages List'!$E$3:$E$65,1)))</f>
        <v>46246.554166666669</v>
      </c>
      <c r="E293" t="str">
        <f>IF($G293="","",INDEX('Passages List'!G$3:G$65,MATCH($G293,'Passages List'!$E$3:$E$65,1)))</f>
        <v>Cargo</v>
      </c>
      <c r="F293" t="s">
        <v>99</v>
      </c>
      <c r="G293" s="1">
        <v>46242.729166666664</v>
      </c>
      <c r="H293" t="s">
        <v>593</v>
      </c>
      <c r="I293" t="s">
        <v>594</v>
      </c>
      <c r="J293" t="s">
        <v>640</v>
      </c>
      <c r="K293" t="s">
        <v>641</v>
      </c>
      <c r="L293" t="s">
        <v>543</v>
      </c>
      <c r="M293">
        <v>166.4</v>
      </c>
      <c r="N293" t="s">
        <v>17</v>
      </c>
      <c r="O293">
        <v>9.5</v>
      </c>
      <c r="P293" t="s">
        <v>17</v>
      </c>
    </row>
    <row r="294" spans="1:16" x14ac:dyDescent="0.2">
      <c r="A294" t="str">
        <f>IF($G294="","",INDEX('Passages List'!B$3:B$65,MATCH($G294,'Passages List'!$E$3:$E$65,1)))</f>
        <v>New Mangalore (INNML)</v>
      </c>
      <c r="B294" t="str">
        <f>IF($G294="","",INDEX('Passages List'!C$3:C$65,MATCH($G294,'Passages List'!$E$3:$E$65,1)))</f>
        <v>Chennai (ex Madras) (INMAA)</v>
      </c>
      <c r="C294" s="1">
        <f>IF($G294="","",INDEX('Passages List'!E$3:E$65,MATCH($G294,'Passages List'!$E$3:$E$65,1)))</f>
        <v>46242.066666666666</v>
      </c>
      <c r="D294" s="1">
        <f>IF($G294="","",INDEX('Passages List'!F$3:F$65,MATCH($G294,'Passages List'!$E$3:$E$65,1)))</f>
        <v>46246.554166666669</v>
      </c>
      <c r="E294" t="str">
        <f>IF($G294="","",INDEX('Passages List'!G$3:G$65,MATCH($G294,'Passages List'!$E$3:$E$65,1)))</f>
        <v>Cargo</v>
      </c>
      <c r="F294" t="s">
        <v>99</v>
      </c>
      <c r="G294" s="1">
        <v>46243.729166666664</v>
      </c>
      <c r="H294" t="s">
        <v>595</v>
      </c>
      <c r="I294" t="s">
        <v>596</v>
      </c>
      <c r="J294" t="s">
        <v>640</v>
      </c>
      <c r="K294" t="s">
        <v>641</v>
      </c>
      <c r="L294" t="s">
        <v>102</v>
      </c>
      <c r="M294">
        <v>258</v>
      </c>
      <c r="N294" t="s">
        <v>17</v>
      </c>
      <c r="O294">
        <v>14.6</v>
      </c>
      <c r="P294" t="s">
        <v>17</v>
      </c>
    </row>
    <row r="295" spans="1:16" x14ac:dyDescent="0.2">
      <c r="A295" t="str">
        <f>IF($G295="","",INDEX('Passages List'!B$3:B$65,MATCH($G295,'Passages List'!$E$3:$E$65,1)))</f>
        <v>New Mangalore (INNML)</v>
      </c>
      <c r="B295" t="str">
        <f>IF($G295="","",INDEX('Passages List'!C$3:C$65,MATCH($G295,'Passages List'!$E$3:$E$65,1)))</f>
        <v>Chennai (ex Madras) (INMAA)</v>
      </c>
      <c r="C295" s="1">
        <f>IF($G295="","",INDEX('Passages List'!E$3:E$65,MATCH($G295,'Passages List'!$E$3:$E$65,1)))</f>
        <v>46242.066666666666</v>
      </c>
      <c r="D295" s="1">
        <f>IF($G295="","",INDEX('Passages List'!F$3:F$65,MATCH($G295,'Passages List'!$E$3:$E$65,1)))</f>
        <v>46246.554166666669</v>
      </c>
      <c r="E295" t="str">
        <f>IF($G295="","",INDEX('Passages List'!G$3:G$65,MATCH($G295,'Passages List'!$E$3:$E$65,1)))</f>
        <v>Cargo</v>
      </c>
      <c r="F295" t="s">
        <v>99</v>
      </c>
      <c r="G295" s="1">
        <v>46244.729166666664</v>
      </c>
      <c r="H295" t="s">
        <v>597</v>
      </c>
      <c r="I295" t="s">
        <v>598</v>
      </c>
      <c r="J295" t="s">
        <v>640</v>
      </c>
      <c r="K295" t="s">
        <v>641</v>
      </c>
      <c r="L295" t="s">
        <v>102</v>
      </c>
      <c r="M295">
        <v>264.39999999999998</v>
      </c>
      <c r="N295" t="s">
        <v>17</v>
      </c>
      <c r="O295">
        <v>14.8</v>
      </c>
      <c r="P295" t="s">
        <v>17</v>
      </c>
    </row>
    <row r="296" spans="1:16" x14ac:dyDescent="0.2">
      <c r="A296" t="str">
        <f>IF($G296="","",INDEX('Passages List'!B$3:B$65,MATCH($G296,'Passages List'!$E$3:$E$65,1)))</f>
        <v>New Mangalore (INNML)</v>
      </c>
      <c r="B296" t="str">
        <f>IF($G296="","",INDEX('Passages List'!C$3:C$65,MATCH($G296,'Passages List'!$E$3:$E$65,1)))</f>
        <v>Chennai (ex Madras) (INMAA)</v>
      </c>
      <c r="C296" s="1">
        <f>IF($G296="","",INDEX('Passages List'!E$3:E$65,MATCH($G296,'Passages List'!$E$3:$E$65,1)))</f>
        <v>46242.066666666666</v>
      </c>
      <c r="D296" s="1">
        <f>IF($G296="","",INDEX('Passages List'!F$3:F$65,MATCH($G296,'Passages List'!$E$3:$E$65,1)))</f>
        <v>46246.554166666669</v>
      </c>
      <c r="E296" t="str">
        <f>IF($G296="","",INDEX('Passages List'!G$3:G$65,MATCH($G296,'Passages List'!$E$3:$E$65,1)))</f>
        <v>Cargo</v>
      </c>
      <c r="F296" t="s">
        <v>99</v>
      </c>
      <c r="G296" s="1">
        <v>46245.729166666664</v>
      </c>
      <c r="H296" t="s">
        <v>599</v>
      </c>
      <c r="I296" t="s">
        <v>600</v>
      </c>
      <c r="J296" t="s">
        <v>640</v>
      </c>
      <c r="K296" t="s">
        <v>641</v>
      </c>
      <c r="L296" t="s">
        <v>102</v>
      </c>
      <c r="M296">
        <v>263</v>
      </c>
      <c r="N296" t="s">
        <v>17</v>
      </c>
      <c r="O296">
        <v>14.8</v>
      </c>
      <c r="P296" t="s">
        <v>17</v>
      </c>
    </row>
    <row r="297" spans="1:16" x14ac:dyDescent="0.2">
      <c r="A297" t="str">
        <f>IF($G297="","",INDEX('Passages List'!B$3:B$65,MATCH($G297,'Passages List'!$E$3:$E$65,1)))</f>
        <v>New Mangalore (INNML)</v>
      </c>
      <c r="B297" t="str">
        <f>IF($G297="","",INDEX('Passages List'!C$3:C$65,MATCH($G297,'Passages List'!$E$3:$E$65,1)))</f>
        <v>Chennai (ex Madras) (INMAA)</v>
      </c>
      <c r="C297" s="1">
        <f>IF($G297="","",INDEX('Passages List'!E$3:E$65,MATCH($G297,'Passages List'!$E$3:$E$65,1)))</f>
        <v>46242.066666666666</v>
      </c>
      <c r="D297" s="1">
        <f>IF($G297="","",INDEX('Passages List'!F$3:F$65,MATCH($G297,'Passages List'!$E$3:$E$65,1)))</f>
        <v>46246.554166666669</v>
      </c>
      <c r="E297" t="str">
        <f>IF($G297="","",INDEX('Passages List'!G$3:G$65,MATCH($G297,'Passages List'!$E$3:$E$65,1)))</f>
        <v>Cargo</v>
      </c>
      <c r="F297" t="s">
        <v>99</v>
      </c>
      <c r="G297" s="1">
        <v>46246.375</v>
      </c>
      <c r="H297" t="s">
        <v>601</v>
      </c>
      <c r="I297" t="s">
        <v>602</v>
      </c>
      <c r="J297" t="s">
        <v>640</v>
      </c>
      <c r="K297" t="s">
        <v>641</v>
      </c>
      <c r="L297" t="s">
        <v>175</v>
      </c>
      <c r="M297">
        <v>177</v>
      </c>
      <c r="N297" t="s">
        <v>17</v>
      </c>
      <c r="O297">
        <v>9.8000000000000007</v>
      </c>
      <c r="P297" t="s">
        <v>17</v>
      </c>
    </row>
    <row r="298" spans="1:16" x14ac:dyDescent="0.2">
      <c r="A298" t="str">
        <f>IF($G298="","",INDEX('Passages List'!B$3:B$65,MATCH($G298,'Passages List'!$E$3:$E$65,1)))</f>
        <v/>
      </c>
      <c r="B298" t="str">
        <f>IF($G298="","",INDEX('Passages List'!C$3:C$65,MATCH($G298,'Passages List'!$E$3:$E$65,1)))</f>
        <v>Chennai (ex Madras) (INMAA)</v>
      </c>
      <c r="C298" s="1">
        <f>IF($G298="","",INDEX('Passages List'!E$3:E$65,MATCH($G298,'Passages List'!$E$3:$E$65,1)))</f>
        <v>46246.554166666669</v>
      </c>
      <c r="D298" s="1">
        <f>IF($G298="","",INDEX('Passages List'!F$3:F$65,MATCH($G298,'Passages List'!$E$3:$E$65,1)))</f>
        <v>46247.758333333331</v>
      </c>
      <c r="E298" t="str">
        <f>IF($G298="","",INDEX('Passages List'!G$3:G$65,MATCH($G298,'Passages List'!$E$3:$E$65,1)))</f>
        <v>Cargo operations</v>
      </c>
      <c r="F298" t="s">
        <v>104</v>
      </c>
      <c r="G298" s="1">
        <v>46246.554166666669</v>
      </c>
      <c r="H298" t="s">
        <v>603</v>
      </c>
      <c r="I298" t="s">
        <v>604</v>
      </c>
      <c r="J298" t="s">
        <v>640</v>
      </c>
      <c r="K298" t="s">
        <v>624</v>
      </c>
      <c r="L298" t="s">
        <v>605</v>
      </c>
      <c r="M298">
        <v>20</v>
      </c>
      <c r="N298">
        <v>13016.6</v>
      </c>
      <c r="O298">
        <v>1.4</v>
      </c>
      <c r="P298" t="s">
        <v>17</v>
      </c>
    </row>
    <row r="299" spans="1:16" x14ac:dyDescent="0.2">
      <c r="A299" t="str">
        <f>IF($G299="","",INDEX('Passages List'!B$3:B$65,MATCH($G299,'Passages List'!$E$3:$E$65,1)))</f>
        <v/>
      </c>
      <c r="B299" t="str">
        <f>IF($G299="","",INDEX('Passages List'!C$3:C$65,MATCH($G299,'Passages List'!$E$3:$E$65,1)))</f>
        <v>Chennai (ex Madras) (INMAA)</v>
      </c>
      <c r="C299" s="1">
        <f>IF($G299="","",INDEX('Passages List'!E$3:E$65,MATCH($G299,'Passages List'!$E$3:$E$65,1)))</f>
        <v>46246.554166666669</v>
      </c>
      <c r="D299" s="1">
        <f>IF($G299="","",INDEX('Passages List'!F$3:F$65,MATCH($G299,'Passages List'!$E$3:$E$65,1)))</f>
        <v>46247.758333333331</v>
      </c>
      <c r="E299" t="str">
        <f>IF($G299="","",INDEX('Passages List'!G$3:G$65,MATCH($G299,'Passages List'!$E$3:$E$65,1)))</f>
        <v>Cargo operations</v>
      </c>
      <c r="F299" t="s">
        <v>105</v>
      </c>
      <c r="G299" s="1">
        <v>46246.729166666664</v>
      </c>
      <c r="H299" t="s">
        <v>603</v>
      </c>
      <c r="I299" t="s">
        <v>604</v>
      </c>
      <c r="J299" t="s">
        <v>640</v>
      </c>
      <c r="L299" t="s">
        <v>240</v>
      </c>
      <c r="M299" t="s">
        <v>17</v>
      </c>
      <c r="N299" t="s">
        <v>17</v>
      </c>
      <c r="O299">
        <v>0.5</v>
      </c>
      <c r="P299">
        <v>0.1</v>
      </c>
    </row>
    <row r="300" spans="1:16" x14ac:dyDescent="0.2">
      <c r="A300" t="str">
        <f>IF($G300="","",INDEX('Passages List'!B$3:B$65,MATCH($G300,'Passages List'!$E$3:$E$65,1)))</f>
        <v/>
      </c>
      <c r="B300" t="str">
        <f>IF($G300="","",INDEX('Passages List'!C$3:C$65,MATCH($G300,'Passages List'!$E$3:$E$65,1)))</f>
        <v>Chennai (ex Madras) (INMAA)</v>
      </c>
      <c r="C300" s="1">
        <f>IF($G300="","",INDEX('Passages List'!E$3:E$65,MATCH($G300,'Passages List'!$E$3:$E$65,1)))</f>
        <v>46246.554166666669</v>
      </c>
      <c r="D300" s="1">
        <f>IF($G300="","",INDEX('Passages List'!F$3:F$65,MATCH($G300,'Passages List'!$E$3:$E$65,1)))</f>
        <v>46247.758333333331</v>
      </c>
      <c r="E300" t="str">
        <f>IF($G300="","",INDEX('Passages List'!G$3:G$65,MATCH($G300,'Passages List'!$E$3:$E$65,1)))</f>
        <v>Cargo operations</v>
      </c>
      <c r="F300" t="s">
        <v>105</v>
      </c>
      <c r="G300" s="1">
        <v>46247.729166666664</v>
      </c>
      <c r="H300" t="s">
        <v>603</v>
      </c>
      <c r="I300" t="s">
        <v>604</v>
      </c>
      <c r="J300" t="s">
        <v>640</v>
      </c>
      <c r="L300" t="s">
        <v>102</v>
      </c>
      <c r="M300" t="s">
        <v>17</v>
      </c>
      <c r="N300" t="s">
        <v>17</v>
      </c>
      <c r="O300">
        <v>2.4</v>
      </c>
      <c r="P300">
        <v>0.9</v>
      </c>
    </row>
    <row r="301" spans="1:16" x14ac:dyDescent="0.2">
      <c r="A301" t="str">
        <f>IF($G301="","",INDEX('Passages List'!B$3:B$65,MATCH($G301,'Passages List'!$E$3:$E$65,1)))</f>
        <v>Chennai (ex Madras) (INMAA)</v>
      </c>
      <c r="B301" t="str">
        <f>IF($G301="","",INDEX('Passages List'!C$3:C$65,MATCH($G301,'Passages List'!$E$3:$E$65,1)))</f>
        <v>Hazira Port (Surat) Hbr (INHZA)</v>
      </c>
      <c r="C301" s="1">
        <f>IF($G301="","",INDEX('Passages List'!E$3:E$65,MATCH($G301,'Passages List'!$E$3:$E$65,1)))</f>
        <v>46247.758333333331</v>
      </c>
      <c r="D301" s="1" t="str">
        <f>IF($G301="","",INDEX('Passages List'!F$3:F$65,MATCH($G301,'Passages List'!$E$3:$E$65,1)))</f>
        <v>in progress</v>
      </c>
      <c r="E301" t="str">
        <f>IF($G301="","",INDEX('Passages List'!G$3:G$65,MATCH($G301,'Passages List'!$E$3:$E$65,1)))</f>
        <v>Ballast</v>
      </c>
      <c r="F301" t="s">
        <v>106</v>
      </c>
      <c r="G301" s="1">
        <v>46247.758333333331</v>
      </c>
      <c r="H301" t="s">
        <v>606</v>
      </c>
      <c r="I301" t="s">
        <v>607</v>
      </c>
      <c r="J301" t="s">
        <v>89</v>
      </c>
      <c r="L301" t="s">
        <v>608</v>
      </c>
      <c r="M301" t="s">
        <v>17</v>
      </c>
      <c r="N301" t="s">
        <v>17</v>
      </c>
      <c r="O301">
        <v>0.1</v>
      </c>
      <c r="P301">
        <v>0.1</v>
      </c>
    </row>
    <row r="302" spans="1:16" x14ac:dyDescent="0.2">
      <c r="A302" t="str">
        <f>IF($G302="","",INDEX('Passages List'!B$3:B$65,MATCH($G302,'Passages List'!$E$3:$E$65,1)))</f>
        <v>Chennai (ex Madras) (INMAA)</v>
      </c>
      <c r="B302" t="str">
        <f>IF($G302="","",INDEX('Passages List'!C$3:C$65,MATCH($G302,'Passages List'!$E$3:$E$65,1)))</f>
        <v>Hazira Port (Surat) Hbr (INHZA)</v>
      </c>
      <c r="C302" s="1">
        <f>IF($G302="","",INDEX('Passages List'!E$3:E$65,MATCH($G302,'Passages List'!$E$3:$E$65,1)))</f>
        <v>46247.758333333331</v>
      </c>
      <c r="D302" s="1" t="str">
        <f>IF($G302="","",INDEX('Passages List'!F$3:F$65,MATCH($G302,'Passages List'!$E$3:$E$65,1)))</f>
        <v>in progress</v>
      </c>
      <c r="E302" t="str">
        <f>IF($G302="","",INDEX('Passages List'!G$3:G$65,MATCH($G302,'Passages List'!$E$3:$E$65,1)))</f>
        <v>Ballast</v>
      </c>
      <c r="F302" t="s">
        <v>99</v>
      </c>
      <c r="G302" s="1">
        <v>46247.833333333336</v>
      </c>
      <c r="H302" t="s">
        <v>606</v>
      </c>
      <c r="I302" t="s">
        <v>607</v>
      </c>
      <c r="J302" t="s">
        <v>89</v>
      </c>
      <c r="L302" t="s">
        <v>107</v>
      </c>
      <c r="M302">
        <v>11.1</v>
      </c>
      <c r="N302" t="s">
        <v>17</v>
      </c>
      <c r="O302">
        <v>0.7</v>
      </c>
      <c r="P302">
        <v>0.1</v>
      </c>
    </row>
    <row r="303" spans="1:16" x14ac:dyDescent="0.2">
      <c r="A303" t="str">
        <f>IF($G303="","",INDEX('Passages List'!B$3:B$65,MATCH($G303,'Passages List'!$E$3:$E$65,1)))</f>
        <v>Chennai (ex Madras) (INMAA)</v>
      </c>
      <c r="B303" t="str">
        <f>IF($G303="","",INDEX('Passages List'!C$3:C$65,MATCH($G303,'Passages List'!$E$3:$E$65,1)))</f>
        <v>Hazira Port (Surat) Hbr (INHZA)</v>
      </c>
      <c r="C303" s="1">
        <f>IF($G303="","",INDEX('Passages List'!E$3:E$65,MATCH($G303,'Passages List'!$E$3:$E$65,1)))</f>
        <v>46247.758333333331</v>
      </c>
      <c r="D303" s="1" t="str">
        <f>IF($G303="","",INDEX('Passages List'!F$3:F$65,MATCH($G303,'Passages List'!$E$3:$E$65,1)))</f>
        <v>in progress</v>
      </c>
      <c r="E303" t="str">
        <f>IF($G303="","",INDEX('Passages List'!G$3:G$65,MATCH($G303,'Passages List'!$E$3:$E$65,1)))</f>
        <v>Ballast</v>
      </c>
      <c r="F303" t="s">
        <v>99</v>
      </c>
      <c r="G303" s="1">
        <v>46248.729166666664</v>
      </c>
      <c r="H303" t="s">
        <v>609</v>
      </c>
      <c r="I303" t="s">
        <v>610</v>
      </c>
      <c r="J303" t="s">
        <v>89</v>
      </c>
      <c r="L303" t="s">
        <v>193</v>
      </c>
      <c r="M303">
        <v>236</v>
      </c>
      <c r="N303" t="s">
        <v>17</v>
      </c>
      <c r="O303">
        <v>13.7</v>
      </c>
      <c r="P303" t="s">
        <v>17</v>
      </c>
    </row>
    <row r="304" spans="1:16" x14ac:dyDescent="0.2">
      <c r="F304" t="s">
        <v>611</v>
      </c>
      <c r="G304" t="s">
        <v>17</v>
      </c>
      <c r="H304" t="s">
        <v>17</v>
      </c>
      <c r="I304" t="s">
        <v>17</v>
      </c>
      <c r="L304" t="s">
        <v>17</v>
      </c>
      <c r="M304">
        <v>33864</v>
      </c>
      <c r="N304" t="s">
        <v>17</v>
      </c>
      <c r="O304">
        <v>2130.5</v>
      </c>
      <c r="P304">
        <v>112.9</v>
      </c>
    </row>
  </sheetData>
  <dataValidations count="1">
    <dataValidation type="list" allowBlank="1" showInputMessage="1" showErrorMessage="1" sqref="K2:K303" xr:uid="{A19A0BC7-67DC-8D44-8DAF-8E2FE1000EDD}">
      <formula1>"COSP, EOSP, Noon At Sea"</formula1>
    </dataValidation>
  </dataValidations>
  <pageMargins left="0.7" right="0.7" top="0.75" bottom="0.75" header="0.3" footer="0.3"/>
  <ignoredErrors>
    <ignoredError sqref="L1:P1 F1 G1:I1 L2:P304 F2:F304 G2:I30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Claude Log</vt:lpstr>
      <vt:lpstr>Vessel Details</vt:lpstr>
      <vt:lpstr>Emissions KPIs</vt:lpstr>
      <vt:lpstr>Summary</vt:lpstr>
      <vt:lpstr>Correction and Gaps</vt:lpstr>
      <vt:lpstr>Passages List</vt:lpstr>
      <vt:lpstr>Log Abstract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Kunal Chandra</cp:lastModifiedBy>
  <dcterms:modified xsi:type="dcterms:W3CDTF">2026-08-15T05:13:50Z</dcterms:modified>
</cp:coreProperties>
</file>